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s" sheetId="1" state="visible" r:id="rId1"/>
    <sheet name="Proof" sheetId="2" state="visible" r:id="rId2"/>
    <sheet name="Account variance" sheetId="3" state="visible" r:id="rId3"/>
    <sheet name="Checks run" sheetId="4" state="visible" r:id="rId4"/>
    <sheet name="GL data" sheetId="5" state="visible" r:id="rId5"/>
    <sheet name="Prior month GL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76374"/>
    </font>
  </fonts>
  <fills count="6">
    <fill>
      <patternFill/>
    </fill>
    <fill>
      <patternFill patternType="gray125"/>
    </fill>
    <fill>
      <patternFill patternType="solid">
        <fgColor rgb="001C2A39"/>
      </patternFill>
    </fill>
    <fill>
      <patternFill patternType="solid">
        <fgColor rgb="00F8D7D3"/>
      </patternFill>
    </fill>
    <fill>
      <patternFill patternType="solid">
        <fgColor rgb="00FCEBD2"/>
      </patternFill>
    </fill>
    <fill>
      <patternFill patternType="solid">
        <fgColor rgb="00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0" customWidth="1" min="3" max="3"/>
    <col width="12" customWidth="1" min="4" max="4"/>
    <col width="45" customWidth="1" min="5" max="5"/>
    <col width="45" customWidth="1" min="6" max="6"/>
    <col width="45" customWidth="1" min="7" max="7"/>
    <col width="14" customWidth="1" min="8" max="8"/>
    <col width="11" customWidth="1" min="9" max="9"/>
    <col width="8" customWidth="1" min="10" max="10"/>
    <col width="26" customWidth="1" min="11" max="11"/>
    <col width="26" customWidth="1" min="12" max="12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finding</t>
        </is>
      </c>
      <c r="D1" s="1" t="inlineStr">
        <is>
          <t>amount</t>
        </is>
      </c>
      <c r="E1" s="1" t="inlineStr">
        <is>
          <t>suggested_action</t>
        </is>
      </c>
      <c r="F1" s="1" t="inlineStr">
        <is>
          <t>linked_findings</t>
        </is>
      </c>
      <c r="G1" s="1" t="inlineStr">
        <is>
          <t>why_flagged</t>
        </is>
      </c>
      <c r="H1" s="1" t="inlineStr">
        <is>
          <t>journal_ref</t>
        </is>
      </c>
      <c r="I1" s="1" t="inlineStr">
        <is>
          <t>date</t>
        </is>
      </c>
      <c r="J1" s="1" t="inlineStr">
        <is>
          <t>account</t>
        </is>
      </c>
      <c r="K1" s="1" t="inlineStr">
        <is>
          <t>vendor</t>
        </is>
      </c>
      <c r="L1" s="1" t="inlineStr">
        <is>
          <t>entry_ids</t>
        </is>
      </c>
    </row>
    <row r="2"/>
    <row r="3">
      <c r="A3" s="2" t="inlineStr">
        <is>
          <t>High</t>
        </is>
      </c>
      <c r="B3" s="3" t="inlineStr">
        <is>
          <t>Bank rec: Amount mismatch</t>
        </is>
      </c>
      <c r="C3" s="3" t="inlineStr">
        <is>
          <t>Kemper &amp; Lau CPAs CHK 4473: disbursements register shows $3,215.00, the bank cleared $3,251.00 (difference $36.00). The difference is divisible by 9: likely swapped digits.</t>
        </is>
      </c>
      <c r="D3" s="4" t="n">
        <v>36</v>
      </c>
      <c r="E3" s="3" t="inlineStr">
        <is>
          <t>Pull the cleared check image. Correct whichever record is wrong.</t>
        </is>
      </c>
      <c r="F3" s="3" t="inlineStr"/>
      <c r="G3" s="3" t="inlineStr">
        <is>
          <t>Every bank line matched to a GL cash entry or a register payment of the same amount within 7 days.</t>
        </is>
      </c>
      <c r="H3" s="3" t="inlineStr"/>
      <c r="I3" s="3" t="inlineStr"/>
      <c r="J3" s="3" t="inlineStr">
        <is>
          <t>1000</t>
        </is>
      </c>
      <c r="K3" s="3" t="inlineStr"/>
      <c r="L3" s="3" t="inlineStr"/>
    </row>
    <row r="4">
      <c r="A4" s="2" t="inlineStr">
        <is>
          <t>High</t>
        </is>
      </c>
      <c r="B4" s="3" t="inlineStr">
        <is>
          <t>Bank rec: Not in books</t>
        </is>
      </c>
      <c r="C4" s="3" t="inlineStr">
        <is>
          <t>MONTHLY SERVICE CHARGE -$85.00 on 2026-08-31 is on the statement but not recorded anywhere.</t>
        </is>
      </c>
      <c r="D4" s="4" t="n">
        <v>85</v>
      </c>
      <c r="E4" s="3" t="inlineStr">
        <is>
          <t>Record it (bank fees go to 6800).</t>
        </is>
      </c>
      <c r="F4" s="3" t="inlineStr"/>
      <c r="G4" s="3" t="inlineStr">
        <is>
          <t>Every bank line matched to a GL cash entry or a register payment of the same amount within 7 days.</t>
        </is>
      </c>
      <c r="H4" s="3" t="inlineStr"/>
      <c r="I4" s="3" t="inlineStr"/>
      <c r="J4" s="3" t="inlineStr">
        <is>
          <t>1000</t>
        </is>
      </c>
      <c r="K4" s="3" t="inlineStr"/>
      <c r="L4" s="3" t="inlineStr"/>
    </row>
    <row r="5">
      <c r="A5" s="2" t="inlineStr">
        <is>
          <t>High</t>
        </is>
      </c>
      <c r="B5" s="3" t="inlineStr">
        <is>
          <t>Duplicate</t>
        </is>
      </c>
      <c r="C5" s="3" t="inlineStr">
        <is>
          <t>Iron Mountain Records Mgmt invoice IRO-202608-855 for $1,842.50 is posted 2 times.</t>
        </is>
      </c>
      <c r="D5" s="4" t="n">
        <v>1842.5</v>
      </c>
      <c r="E5" s="3" t="inlineStr">
        <is>
          <t>Void the extra posting and confirm only one payment went out.</t>
        </is>
      </c>
      <c r="F5" s="3" t="inlineStr"/>
      <c r="G5" s="3" t="inlineStr">
        <is>
          <t>Same vendor, same invoice/reference, same amount and account posted in more than one journal entry.</t>
        </is>
      </c>
      <c r="H5" s="3" t="inlineStr">
        <is>
          <t>JE-6162, JE-6163</t>
        </is>
      </c>
      <c r="I5" s="3" t="inlineStr">
        <is>
          <t>2026-08-05</t>
        </is>
      </c>
      <c r="J5" s="3" t="inlineStr">
        <is>
          <t>6500</t>
        </is>
      </c>
      <c r="K5" s="3" t="inlineStr">
        <is>
          <t>Iron Mountain Records Mgmt</t>
        </is>
      </c>
      <c r="L5" s="3" t="inlineStr">
        <is>
          <t>202608-0001, 202608-0003</t>
        </is>
      </c>
    </row>
    <row r="6">
      <c r="A6" s="2" t="inlineStr">
        <is>
          <t>High</t>
        </is>
      </c>
      <c r="B6" s="3" t="inlineStr">
        <is>
          <t>Manual entry review</t>
        </is>
      </c>
      <c r="C6" s="3" t="inlineStr">
        <is>
          <t>JE-9105 by s.morck: posted on a Sunday, round amount $25,000.00, vague description ("adj per discussion"), no supporting reference.</t>
        </is>
      </c>
      <c r="D6" s="4" t="n">
        <v>25000</v>
      </c>
      <c r="E6" s="3" t="inlineStr">
        <is>
          <t>Get the support and an approver other than the person who posted it.</t>
        </is>
      </c>
      <c r="F6" s="3" t="inlineStr"/>
      <c r="G6" s="3" t="inlineStr">
        <is>
          <t>Manual journal entry with 2+ of: weekend date, round amount &gt;= $10000.0, vague description, no reference.</t>
        </is>
      </c>
      <c r="H6" s="3" t="inlineStr">
        <is>
          <t>JE-9105</t>
        </is>
      </c>
      <c r="I6" s="3" t="inlineStr">
        <is>
          <t>2026-08-23</t>
        </is>
      </c>
      <c r="J6" s="3" t="inlineStr">
        <is>
          <t>6600</t>
        </is>
      </c>
      <c r="K6" s="3" t="inlineStr"/>
      <c r="L6" s="3" t="inlineStr">
        <is>
          <t>202608-0173, 202608-0174</t>
        </is>
      </c>
    </row>
    <row r="7">
      <c r="A7" s="2" t="inlineStr">
        <is>
          <t>High</t>
        </is>
      </c>
      <c r="B7" s="3" t="inlineStr">
        <is>
          <t>Unbalanced entry</t>
        </is>
      </c>
      <c r="C7" s="3" t="inlineStr">
        <is>
          <t>JE-9104: debits $12,450.00 vs credits $12,405.00, off by $45.00. The difference is divisible by 9, which usually means two digits were swapped.</t>
        </is>
      </c>
      <c r="D7" s="4" t="n">
        <v>45</v>
      </c>
      <c r="E7" s="3" t="inlineStr">
        <is>
          <t>Void and re-post the entry from the source document. Don't patch one side.</t>
        </is>
      </c>
      <c r="F7" s="3" t="inlineStr"/>
      <c r="G7" s="3" t="inlineStr">
        <is>
          <t>Every journal entry's debits must equal its credits. Differences divisible by 9 usually mean swapped digits.</t>
        </is>
      </c>
      <c r="H7" s="3" t="inlineStr">
        <is>
          <t>JE-9104</t>
        </is>
      </c>
      <c r="I7" s="3" t="inlineStr">
        <is>
          <t>2026-08-31</t>
        </is>
      </c>
      <c r="J7" s="3" t="inlineStr">
        <is>
          <t>1400</t>
        </is>
      </c>
      <c r="K7" s="3" t="inlineStr"/>
      <c r="L7" s="3" t="inlineStr">
        <is>
          <t>202608-0171, 202608-0172</t>
        </is>
      </c>
    </row>
    <row r="8">
      <c r="A8" s="5" t="inlineStr">
        <is>
          <t>Medium</t>
        </is>
      </c>
      <c r="B8" s="3" t="inlineStr">
        <is>
          <t>AP payments not in GL</t>
        </is>
      </c>
      <c r="C8" s="3" t="inlineStr">
        <is>
          <t>$199,372.85 of vendor bills were credited to AP across 3 month(s), but no payment ever debits AP. Either payments post somewhere else or AP is overstated.</t>
        </is>
      </c>
      <c r="D8" s="4" t="n">
        <v>199372.85</v>
      </c>
      <c r="E8" s="3" t="inlineStr">
        <is>
          <t>Find where vendor payments are recorded and tie AP to the payments register.</t>
        </is>
      </c>
      <c r="F8" s="3" t="inlineStr"/>
      <c r="G8" s="3" t="inlineStr">
        <is>
          <t>Vendor bills are credited to AP but no payments ever debit AP in the months provided.</t>
        </is>
      </c>
      <c r="H8" s="3" t="inlineStr"/>
      <c r="I8" s="3" t="inlineStr"/>
      <c r="J8" s="3" t="inlineStr">
        <is>
          <t>2000</t>
        </is>
      </c>
      <c r="K8" s="3" t="inlineStr"/>
      <c r="L8" s="3" t="inlineStr"/>
    </row>
    <row r="9">
      <c r="A9" s="5" t="inlineStr">
        <is>
          <t>Medium</t>
        </is>
      </c>
      <c r="B9" s="3" t="inlineStr">
        <is>
          <t>Check sequence gap</t>
        </is>
      </c>
      <c r="C9" s="3" t="inlineStr">
        <is>
          <t>Check 4472 is missing from the register (between 4471 and 4473).</t>
        </is>
      </c>
      <c r="D9" s="4" t="inlineStr"/>
      <c r="E9" s="3" t="inlineStr">
        <is>
          <t>Confirm it was voided (and kept) or find where it went.</t>
        </is>
      </c>
      <c r="F9" s="3" t="inlineStr"/>
      <c r="G9" s="3" t="inlineStr">
        <is>
          <t>Check numbers in the disbursements register skip a number.</t>
        </is>
      </c>
      <c r="H9" s="3" t="inlineStr"/>
      <c r="I9" s="3" t="inlineStr"/>
      <c r="J9" s="3" t="inlineStr">
        <is>
          <t>1000</t>
        </is>
      </c>
      <c r="K9" s="3" t="inlineStr"/>
      <c r="L9" s="3" t="inlineStr"/>
    </row>
    <row r="10">
      <c r="A10" s="5" t="inlineStr">
        <is>
          <t>Medium</t>
        </is>
      </c>
      <c r="B10" s="3" t="inlineStr">
        <is>
          <t>Coding</t>
        </is>
      </c>
      <c r="C10" s="3" t="inlineStr">
        <is>
          <t>Anthropic PBC - Claude Team (Anthropic PBC - Claude Team - monthly) is coded to 6100 Office Supplies. Rule says 6420 Software Subscriptions. AI tools are software subscriptions.</t>
        </is>
      </c>
      <c r="D10" s="4" t="n">
        <v>1500</v>
      </c>
      <c r="E10" s="3" t="inlineStr">
        <is>
          <t>Reclass to 6420 if the rule is right.</t>
        </is>
      </c>
      <c r="F10" s="3" t="inlineStr"/>
      <c r="G10" s="3" t="inlineStr">
        <is>
          <t>Vendor matches a rule in coding_rules.csv but is posted to a different account.</t>
        </is>
      </c>
      <c r="H10" s="3" t="inlineStr">
        <is>
          <t>JE-6167</t>
        </is>
      </c>
      <c r="I10" s="3" t="inlineStr">
        <is>
          <t>2026-08-02</t>
        </is>
      </c>
      <c r="J10" s="3" t="inlineStr">
        <is>
          <t>6100</t>
        </is>
      </c>
      <c r="K10" s="3" t="inlineStr">
        <is>
          <t>Anthropic PBC - Claude Team</t>
        </is>
      </c>
      <c r="L10" s="3" t="inlineStr">
        <is>
          <t>202608-0011</t>
        </is>
      </c>
    </row>
    <row r="11">
      <c r="A11" s="5" t="inlineStr">
        <is>
          <t>Medium</t>
        </is>
      </c>
      <c r="B11" s="3" t="inlineStr">
        <is>
          <t>Coding</t>
        </is>
      </c>
      <c r="C11" s="3" t="inlineStr">
        <is>
          <t>Amazon Web Services (AWS Marketplace - Textract add-on) is coded to 6200 Rent &amp; Occupancy. Rule says 6450 Cloud Hosting. Hosting and AWS Marketplace add-ons are Cloud Hosting.</t>
        </is>
      </c>
      <c r="D11" s="4" t="n">
        <v>2980</v>
      </c>
      <c r="E11" s="3" t="inlineStr">
        <is>
          <t>Reclass to 6450 if the rule is right.</t>
        </is>
      </c>
      <c r="F11" s="3" t="inlineStr"/>
      <c r="G11" s="3" t="inlineStr">
        <is>
          <t>Vendor matches a rule in coding_rules.csv but is posted to a different account.</t>
        </is>
      </c>
      <c r="H11" s="3" t="inlineStr">
        <is>
          <t>JE-9103</t>
        </is>
      </c>
      <c r="I11" s="3" t="inlineStr">
        <is>
          <t>2026-08-18</t>
        </is>
      </c>
      <c r="J11" s="3" t="inlineStr">
        <is>
          <t>6200</t>
        </is>
      </c>
      <c r="K11" s="3" t="inlineStr">
        <is>
          <t>Amazon Web Services</t>
        </is>
      </c>
      <c r="L11" s="3" t="inlineStr">
        <is>
          <t>202608-0169</t>
        </is>
      </c>
    </row>
    <row r="12">
      <c r="A12" s="5" t="inlineStr">
        <is>
          <t>Medium</t>
        </is>
      </c>
      <c r="B12" s="3" t="inlineStr">
        <is>
          <t>Missing recurring</t>
        </is>
      </c>
      <c r="C12" s="3" t="inlineStr">
        <is>
          <t>Verizon Business was billed in each of the prior 2 month(s) (last $1,265.40 on 2026-07-12) but has nothing this month.</t>
        </is>
      </c>
      <c r="D12" s="4" t="n">
        <v>1265.4</v>
      </c>
      <c r="E12" s="3" t="inlineStr">
        <is>
          <t>Accrue the expected bill or confirm the service ended.</t>
        </is>
      </c>
      <c r="F12" s="3" t="inlineStr"/>
      <c r="G12" s="3" t="inlineStr">
        <is>
          <t>Vendor billed in every prior month provided but not this month.</t>
        </is>
      </c>
      <c r="H12" s="3" t="inlineStr">
        <is>
          <t>JE-6085</t>
        </is>
      </c>
      <c r="I12" s="3" t="inlineStr">
        <is>
          <t>2026-07-12</t>
        </is>
      </c>
      <c r="J12" s="3" t="inlineStr">
        <is>
          <t>6300</t>
        </is>
      </c>
      <c r="K12" s="3" t="inlineStr">
        <is>
          <t>Verizon Business</t>
        </is>
      </c>
      <c r="L12" s="3" t="inlineStr">
        <is>
          <t>202607-0011</t>
        </is>
      </c>
    </row>
    <row r="13">
      <c r="A13" s="5" t="inlineStr">
        <is>
          <t>Medium</t>
        </is>
      </c>
      <c r="B13" s="3" t="inlineStr">
        <is>
          <t>Payment does not match a bill</t>
        </is>
      </c>
      <c r="C13" s="3" t="inlineStr">
        <is>
          <t>Kemper &amp; Lau CPAs CHK 4473 for $3,215.00 matches none of their bills in the period ($3,500.00).</t>
        </is>
      </c>
      <c r="D13" s="4" t="n">
        <v>3215</v>
      </c>
      <c r="E13" s="3" t="inlineStr">
        <is>
          <t>Check whether it's a partial payment, a different invoice, or a keying error.</t>
        </is>
      </c>
      <c r="F13" s="3" t="inlineStr"/>
      <c r="G13" s="3" t="inlineStr">
        <is>
          <t>A payment in the disbursements register has no vendor bill of the same amount in the months provided.</t>
        </is>
      </c>
      <c r="H13" s="3" t="inlineStr"/>
      <c r="I13" s="3" t="inlineStr">
        <is>
          <t>2026-08-25</t>
        </is>
      </c>
      <c r="J13" s="3" t="inlineStr">
        <is>
          <t>2000</t>
        </is>
      </c>
      <c r="K13" s="3" t="inlineStr">
        <is>
          <t>Kemper &amp; Lau CPAs</t>
        </is>
      </c>
      <c r="L13" s="3" t="inlineStr"/>
    </row>
    <row r="14">
      <c r="A14" s="5" t="inlineStr">
        <is>
          <t>Medium</t>
        </is>
      </c>
      <c r="B14" s="3" t="inlineStr">
        <is>
          <t>Possible duplicate</t>
        </is>
      </c>
      <c r="C14" s="3" t="inlineStr">
        <is>
          <t>Dunmore Legal Advisors: 2 charges of $4,750.00 within 9 days, different invoice numbers.</t>
        </is>
      </c>
      <c r="D14" s="4" t="n">
        <v>4750</v>
      </c>
      <c r="E14" s="3" t="inlineStr">
        <is>
          <t>Confirm these are separate services. Pull both invoices.</t>
        </is>
      </c>
      <c r="F14" s="3" t="inlineStr"/>
      <c r="G14" s="3" t="inlineStr">
        <is>
          <t>Same vendor and amount (&gt;= $500) with different references within 14 days.</t>
        </is>
      </c>
      <c r="H14" s="3" t="inlineStr">
        <is>
          <t>JE-9101, JE-9102</t>
        </is>
      </c>
      <c r="I14" s="3" t="inlineStr">
        <is>
          <t>2026-08-11</t>
        </is>
      </c>
      <c r="J14" s="3" t="inlineStr">
        <is>
          <t>6600</t>
        </is>
      </c>
      <c r="K14" s="3" t="inlineStr">
        <is>
          <t>Dunmore Legal Advisors</t>
        </is>
      </c>
      <c r="L14" s="3" t="inlineStr">
        <is>
          <t>202608-0165, 202608-0167</t>
        </is>
      </c>
    </row>
    <row r="15">
      <c r="A15" s="5" t="inlineStr">
        <is>
          <t>Medium</t>
        </is>
      </c>
      <c r="B15" s="3" t="inlineStr">
        <is>
          <t>Variance</t>
        </is>
      </c>
      <c r="C15" s="3" t="inlineStr">
        <is>
          <t>6100 Office Supplies moved $1,821.45 (+53.2%) vs prior month: $3,420.64 to $5,242.09. Biggest lines: Anthropic PBC - Claude Team $1,500.00; Staples Business $418.48; Staples Business $389.44.</t>
        </is>
      </c>
      <c r="D15" s="4" t="n">
        <v>1821.45</v>
      </c>
      <c r="E15" s="3" t="inlineStr">
        <is>
          <t>Explain the driver or correct it.</t>
        </is>
      </c>
      <c r="F15" s="3" t="inlineStr">
        <is>
          <t>Split purchase pattern (JE-6184, JE-6188, JE-6189, JE-6218, $748.27); Coding (JE-6167, $1,500.00)</t>
        </is>
      </c>
      <c r="G15" s="3" t="inlineStr">
        <is>
          <t>Revenue or expense account moved at least $1000.0 and 25.0% vs the prior month.</t>
        </is>
      </c>
      <c r="H15" s="3" t="inlineStr">
        <is>
          <t>JE-6167, JE-6204, JE-6221</t>
        </is>
      </c>
      <c r="I15" s="3" t="inlineStr">
        <is>
          <t>2026-08-02</t>
        </is>
      </c>
      <c r="J15" s="3" t="inlineStr">
        <is>
          <t>6100</t>
        </is>
      </c>
      <c r="K15" s="3" t="inlineStr">
        <is>
          <t>Anthropic PBC - Claude Team</t>
        </is>
      </c>
      <c r="L15" s="3" t="inlineStr">
        <is>
          <t>202608-0011, 202608-0087, 202608-0121</t>
        </is>
      </c>
    </row>
    <row r="16">
      <c r="A16" s="5" t="inlineStr">
        <is>
          <t>Medium</t>
        </is>
      </c>
      <c r="B16" s="3" t="inlineStr">
        <is>
          <t>Variance</t>
        </is>
      </c>
      <c r="C16" s="3" t="inlineStr">
        <is>
          <t>6300 Telephone &amp; Internet moved -$1,265.40 (-76.4%) vs prior month: $1,655.39 to $389.99. Biggest lines: Optimum Business $389.99.</t>
        </is>
      </c>
      <c r="D16" s="4" t="n">
        <v>1265.4</v>
      </c>
      <c r="E16" s="3" t="inlineStr">
        <is>
          <t>Explain the driver or correct it.</t>
        </is>
      </c>
      <c r="F16" s="3" t="inlineStr">
        <is>
          <t>Missing recurring (JE-6085, $1,265.40)</t>
        </is>
      </c>
      <c r="G16" s="3" t="inlineStr">
        <is>
          <t>Revenue or expense account moved at least $1000.0 and 25.0% vs the prior month.</t>
        </is>
      </c>
      <c r="H16" s="3" t="inlineStr">
        <is>
          <t>JE-6168</t>
        </is>
      </c>
      <c r="I16" s="3" t="inlineStr">
        <is>
          <t>2026-08-14</t>
        </is>
      </c>
      <c r="J16" s="3" t="inlineStr">
        <is>
          <t>6300</t>
        </is>
      </c>
      <c r="K16" s="3" t="inlineStr">
        <is>
          <t>Optimum Business</t>
        </is>
      </c>
      <c r="L16" s="3" t="inlineStr">
        <is>
          <t>202608-0013</t>
        </is>
      </c>
    </row>
    <row r="17">
      <c r="A17" s="5" t="inlineStr">
        <is>
          <t>Medium</t>
        </is>
      </c>
      <c r="B17" s="3" t="inlineStr">
        <is>
          <t>Variance</t>
        </is>
      </c>
      <c r="C17" s="3" t="inlineStr">
        <is>
          <t>6450 Cloud Hosting moved $5,903.43 (+41.2%) vs prior month: $14,342.18 to $20,245.61. Biggest lines: Amazon Web Services $20,245.61.</t>
        </is>
      </c>
      <c r="D17" s="4" t="n">
        <v>5903.43</v>
      </c>
      <c r="E17" s="3" t="inlineStr">
        <is>
          <t>Explain the driver or correct it.</t>
        </is>
      </c>
      <c r="F17" s="3" t="inlineStr">
        <is>
          <t>None. Still needs an explanation.</t>
        </is>
      </c>
      <c r="G17" s="3" t="inlineStr">
        <is>
          <t>Revenue or expense account moved at least $1000.0 and 25.0% vs the prior month.</t>
        </is>
      </c>
      <c r="H17" s="3" t="inlineStr">
        <is>
          <t>JE-6164</t>
        </is>
      </c>
      <c r="I17" s="3" t="inlineStr">
        <is>
          <t>2026-08-03</t>
        </is>
      </c>
      <c r="J17" s="3" t="inlineStr">
        <is>
          <t>6450</t>
        </is>
      </c>
      <c r="K17" s="3" t="inlineStr">
        <is>
          <t>Amazon Web Services</t>
        </is>
      </c>
      <c r="L17" s="3" t="inlineStr">
        <is>
          <t>202608-0005</t>
        </is>
      </c>
    </row>
    <row r="18">
      <c r="A18" s="5" t="inlineStr">
        <is>
          <t>Medium</t>
        </is>
      </c>
      <c r="B18" s="3" t="inlineStr">
        <is>
          <t>Variance</t>
        </is>
      </c>
      <c r="C18" s="3" t="inlineStr">
        <is>
          <t>6500 Records Storage &amp; Destruction moved $1,842.50 (+74.2%) vs prior month: $2,482.50 to $4,325.00. Biggest lines: Iron Mountain Records Mgmt $1,842.50; Iron Mountain Records Mgmt $1,842.50; Shred-Right Inc. $640.00.</t>
        </is>
      </c>
      <c r="D18" s="4" t="n">
        <v>1842.5</v>
      </c>
      <c r="E18" s="3" t="inlineStr">
        <is>
          <t>Explain the driver or correct it.</t>
        </is>
      </c>
      <c r="F18" s="3" t="inlineStr">
        <is>
          <t>Duplicate (JE-6162, JE-6163, $1,842.50)</t>
        </is>
      </c>
      <c r="G18" s="3" t="inlineStr">
        <is>
          <t>Revenue or expense account moved at least $1000.0 and 25.0% vs the prior month.</t>
        </is>
      </c>
      <c r="H18" s="3" t="inlineStr">
        <is>
          <t>JE-6162, JE-6163, JE-6170</t>
        </is>
      </c>
      <c r="I18" s="3" t="inlineStr">
        <is>
          <t>2026-08-05</t>
        </is>
      </c>
      <c r="J18" s="3" t="inlineStr">
        <is>
          <t>6500</t>
        </is>
      </c>
      <c r="K18" s="3" t="inlineStr">
        <is>
          <t>Iron Mountain Records Mgmt</t>
        </is>
      </c>
      <c r="L18" s="3" t="inlineStr">
        <is>
          <t>202608-0001, 202608-0003, 202608-0017</t>
        </is>
      </c>
    </row>
    <row r="19">
      <c r="A19" s="5" t="inlineStr">
        <is>
          <t>Medium</t>
        </is>
      </c>
      <c r="B19" s="3" t="inlineStr">
        <is>
          <t>Variance</t>
        </is>
      </c>
      <c r="C19" s="3" t="inlineStr">
        <is>
          <t>6600 Professional Fees moved $34,500.00 (+985.7%) vs prior month: $3,500.00 to $38,000.00. Biggest lines: Adjustment $25,000.00; Dunmore Legal Advisors $4,750.00; Dunmore Legal Advisors $4,750.00.</t>
        </is>
      </c>
      <c r="D19" s="4" t="n">
        <v>34500</v>
      </c>
      <c r="E19" s="3" t="inlineStr">
        <is>
          <t>Explain the driver or correct it.</t>
        </is>
      </c>
      <c r="F19" s="3" t="inlineStr">
        <is>
          <t>Possible duplicate (JE-9101, JE-9102, $4,750.00); Manual entry review (JE-9105, $25,000.00)</t>
        </is>
      </c>
      <c r="G19" s="3" t="inlineStr">
        <is>
          <t>Revenue or expense account moved at least $1000.0 and 25.0% vs the prior month.</t>
        </is>
      </c>
      <c r="H19" s="3" t="inlineStr">
        <is>
          <t>JE-9101, JE-9102, JE-9105</t>
        </is>
      </c>
      <c r="I19" s="3" t="inlineStr">
        <is>
          <t>2026-08-23</t>
        </is>
      </c>
      <c r="J19" s="3" t="inlineStr">
        <is>
          <t>6600</t>
        </is>
      </c>
      <c r="K19" s="3" t="inlineStr"/>
      <c r="L19" s="3" t="inlineStr">
        <is>
          <t>202608-0173, 202608-0165, 202608-0167</t>
        </is>
      </c>
    </row>
    <row r="20">
      <c r="A20" s="5" t="inlineStr">
        <is>
          <t>Medium</t>
        </is>
      </c>
      <c r="B20" s="3" t="inlineStr">
        <is>
          <t>Variance</t>
        </is>
      </c>
      <c r="C20" s="3" t="inlineStr">
        <is>
          <t>6700 Insurance moved -$12,405.00 (-561.3%) vs prior month: $2,210.00 to -$10,195.00. Biggest lines: Reclass annual E&amp;O renewal to prepaid $12,405.00; Hartwell Cyber Insurance $2,210.00.</t>
        </is>
      </c>
      <c r="D20" s="4" t="n">
        <v>12405</v>
      </c>
      <c r="E20" s="3" t="inlineStr">
        <is>
          <t>Explain the driver or correct it.</t>
        </is>
      </c>
      <c r="F20" s="3" t="inlineStr">
        <is>
          <t>Unbalanced entry (JE-9104)</t>
        </is>
      </c>
      <c r="G20" s="3" t="inlineStr">
        <is>
          <t>Revenue or expense account moved at least $1000.0 and 25.0% vs the prior month.</t>
        </is>
      </c>
      <c r="H20" s="3" t="inlineStr">
        <is>
          <t>JE-6172, JE-9104</t>
        </is>
      </c>
      <c r="I20" s="3" t="inlineStr">
        <is>
          <t>2026-08-31</t>
        </is>
      </c>
      <c r="J20" s="3" t="inlineStr">
        <is>
          <t>6700</t>
        </is>
      </c>
      <c r="K20" s="3" t="inlineStr"/>
      <c r="L20" s="3" t="inlineStr">
        <is>
          <t>202608-0172, 202608-0021</t>
        </is>
      </c>
    </row>
    <row r="21">
      <c r="A21" s="6" t="inlineStr">
        <is>
          <t>Low</t>
        </is>
      </c>
      <c r="B21" s="3" t="inlineStr">
        <is>
          <t>Bank rec: Deposit in transit</t>
        </is>
      </c>
      <c r="C21" s="3" t="inlineStr">
        <is>
          <t>Requestor copy fees collected (GL cash (1000), 2026-08-28) is not on the statement yet.</t>
        </is>
      </c>
      <c r="D21" s="4" t="n">
        <v>41990.26</v>
      </c>
      <c r="E21" s="3" t="inlineStr">
        <is>
          <t>Confirm it clears in the first days of next month.</t>
        </is>
      </c>
      <c r="F21" s="3" t="inlineStr"/>
      <c r="G21" s="3" t="inlineStr">
        <is>
          <t>Every bank line matched to a GL cash entry or a register payment of the same amount within 7 days.</t>
        </is>
      </c>
      <c r="H21" s="3" t="inlineStr"/>
      <c r="I21" s="3" t="inlineStr"/>
      <c r="J21" s="3" t="inlineStr">
        <is>
          <t>1000</t>
        </is>
      </c>
      <c r="K21" s="3" t="inlineStr"/>
      <c r="L21" s="3" t="inlineStr"/>
    </row>
    <row r="22">
      <c r="A22" s="6" t="inlineStr">
        <is>
          <t>Low</t>
        </is>
      </c>
      <c r="B22" s="3" t="inlineStr">
        <is>
          <t>Bank rec: Outstanding payment</t>
        </is>
      </c>
      <c r="C22" s="3" t="inlineStr">
        <is>
          <t>Hartwell Cyber Insurance CHK 4474 (disbursements register, 2026-08-29) has not cleared the bank.</t>
        </is>
      </c>
      <c r="D22" s="4" t="n">
        <v>2210</v>
      </c>
      <c r="E22" s="3" t="inlineStr">
        <is>
          <t>Normal timing. Follow up if still open after 30 days.</t>
        </is>
      </c>
      <c r="F22" s="3" t="inlineStr"/>
      <c r="G22" s="3" t="inlineStr">
        <is>
          <t>Every bank line matched to a GL cash entry or a register payment of the same amount within 7 days.</t>
        </is>
      </c>
      <c r="H22" s="3" t="inlineStr"/>
      <c r="I22" s="3" t="inlineStr"/>
      <c r="J22" s="3" t="inlineStr">
        <is>
          <t>1000</t>
        </is>
      </c>
      <c r="K22" s="3" t="inlineStr"/>
      <c r="L22" s="3" t="inlineStr"/>
    </row>
    <row r="23">
      <c r="A23" s="6" t="inlineStr">
        <is>
          <t>Low</t>
        </is>
      </c>
      <c r="B23" s="3" t="inlineStr">
        <is>
          <t>Repeated identical charge</t>
        </is>
      </c>
      <c r="C23" s="3" t="inlineStr">
        <is>
          <t>Adobe Inc.: 6 charges of exactly $55.00 this month ($330.00 total).</t>
        </is>
      </c>
      <c r="D23" s="4" t="n">
        <v>330</v>
      </c>
      <c r="E23" s="3" t="inlineStr">
        <is>
          <t>Confirm the count matches seats or orders. Check it isn't also paid another way (e.g. an annual license).</t>
        </is>
      </c>
      <c r="F23" s="3" t="inlineStr"/>
      <c r="G23" s="3" t="inlineStr">
        <is>
          <t>Same vendor and exact amount 3+ times in the month (under $500). Can be legit (per-seat fees) or a billing loop.</t>
        </is>
      </c>
      <c r="H23" s="3" t="inlineStr">
        <is>
          <t>JE-6196, JE-6197, JE-6198, JE-6236, JE-6238, JE-6239</t>
        </is>
      </c>
      <c r="I23" s="3" t="inlineStr">
        <is>
          <t>2026-08-03</t>
        </is>
      </c>
      <c r="J23" s="3" t="inlineStr">
        <is>
          <t>6420</t>
        </is>
      </c>
      <c r="K23" s="3" t="inlineStr">
        <is>
          <t>Adobe Inc.</t>
        </is>
      </c>
      <c r="L23" s="3" t="inlineStr">
        <is>
          <t>202608-0071, 202608-0155, 202608-0157, 202608-0151, 202608-0075, 202608-0073</t>
        </is>
      </c>
    </row>
    <row r="24">
      <c r="A24" s="6" t="inlineStr">
        <is>
          <t>Low</t>
        </is>
      </c>
      <c r="B24" s="3" t="inlineStr">
        <is>
          <t>Split purchase pattern</t>
        </is>
      </c>
      <c r="C24" s="3" t="inlineStr">
        <is>
          <t>Hilton Garden Inn: 2 charges on 2026-08-10 totaling $586.29, each under the $500.00 limit.</t>
        </is>
      </c>
      <c r="D24" s="4" t="n">
        <v>586.29</v>
      </c>
      <c r="E24" s="3" t="inlineStr">
        <is>
          <t>Check whether one purchase was split to stay under an approval limit.</t>
        </is>
      </c>
      <c r="F24" s="3" t="inlineStr"/>
      <c r="G24" s="3" t="inlineStr">
        <is>
          <t>3+ charges from one vendor on the same day, or same-day charges that total more than $500.0 while each is under it.</t>
        </is>
      </c>
      <c r="H24" s="3" t="inlineStr">
        <is>
          <t>JE-6192, JE-6209</t>
        </is>
      </c>
      <c r="I24" s="3" t="inlineStr">
        <is>
          <t>2026-08-10</t>
        </is>
      </c>
      <c r="J24" s="3" t="inlineStr">
        <is>
          <t>6900</t>
        </is>
      </c>
      <c r="K24" s="3" t="inlineStr">
        <is>
          <t>Hilton Garden Inn</t>
        </is>
      </c>
      <c r="L24" s="3" t="inlineStr">
        <is>
          <t>202608-0063, 202608-0097</t>
        </is>
      </c>
    </row>
    <row r="25">
      <c r="A25" s="6" t="inlineStr">
        <is>
          <t>Low</t>
        </is>
      </c>
      <c r="B25" s="3" t="inlineStr">
        <is>
          <t>Split purchase pattern</t>
        </is>
      </c>
      <c r="C25" s="3" t="inlineStr">
        <is>
          <t>Grubhub Corporate: 3 charges on 2026-08-10 totaling $646.59, each under the $500.00 limit.</t>
        </is>
      </c>
      <c r="D25" s="4" t="n">
        <v>646.59</v>
      </c>
      <c r="E25" s="3" t="inlineStr">
        <is>
          <t>Check whether one purchase was split to stay under an approval limit.</t>
        </is>
      </c>
      <c r="F25" s="3" t="inlineStr"/>
      <c r="G25" s="3" t="inlineStr">
        <is>
          <t>3+ charges from one vendor on the same day, or same-day charges that total more than $500.0 while each is under it.</t>
        </is>
      </c>
      <c r="H25" s="3" t="inlineStr">
        <is>
          <t>JE-6214, JE-6227, JE-6229</t>
        </is>
      </c>
      <c r="I25" s="3" t="inlineStr">
        <is>
          <t>2026-08-10</t>
        </is>
      </c>
      <c r="J25" s="3" t="inlineStr">
        <is>
          <t>6900</t>
        </is>
      </c>
      <c r="K25" s="3" t="inlineStr">
        <is>
          <t>Grubhub Corporate</t>
        </is>
      </c>
      <c r="L25" s="3" t="inlineStr">
        <is>
          <t>202608-0107, 202608-0133, 202608-0137</t>
        </is>
      </c>
    </row>
    <row r="26">
      <c r="A26" s="6" t="inlineStr">
        <is>
          <t>Low</t>
        </is>
      </c>
      <c r="B26" s="3" t="inlineStr">
        <is>
          <t>Split purchase pattern</t>
        </is>
      </c>
      <c r="C26" s="3" t="inlineStr">
        <is>
          <t>Staples Business: 4 charges on 2026-08-24 totaling $748.27, each under the $500.00 limit.</t>
        </is>
      </c>
      <c r="D26" s="4" t="n">
        <v>748.27</v>
      </c>
      <c r="E26" s="3" t="inlineStr">
        <is>
          <t>Check whether one purchase was split to stay under an approval limit.</t>
        </is>
      </c>
      <c r="F26" s="3" t="inlineStr"/>
      <c r="G26" s="3" t="inlineStr">
        <is>
          <t>3+ charges from one vendor on the same day, or same-day charges that total more than $500.0 while each is under it.</t>
        </is>
      </c>
      <c r="H26" s="3" t="inlineStr">
        <is>
          <t>JE-6184, JE-6188, JE-6189, JE-6218</t>
        </is>
      </c>
      <c r="I26" s="3" t="inlineStr">
        <is>
          <t>2026-08-24</t>
        </is>
      </c>
      <c r="J26" s="3" t="inlineStr">
        <is>
          <t>6100</t>
        </is>
      </c>
      <c r="K26" s="3" t="inlineStr">
        <is>
          <t>Staples Business</t>
        </is>
      </c>
      <c r="L26" s="3" t="inlineStr">
        <is>
          <t>202608-0047, 202608-0055, 202608-0057, 202608-0115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70" customWidth="1" min="4" max="4"/>
  </cols>
  <sheetData>
    <row r="1">
      <c r="A1" s="1" t="inlineStr">
        <is>
          <t>What</t>
        </is>
      </c>
      <c r="B1" s="1" t="inlineStr">
        <is>
          <t>Live formula result</t>
        </is>
      </c>
      <c r="C1" s="1" t="inlineStr">
        <is>
          <t>Script result</t>
        </is>
      </c>
      <c r="D1" s="1" t="inlineStr">
        <is>
          <t>Formula</t>
        </is>
      </c>
    </row>
    <row r="2"/>
    <row r="3">
      <c r="A3" s="7" t="inlineStr">
        <is>
          <t>Every figure below is an Excel formula over the raw rows in the GL data tabs. Click any cell in column B to see it.</t>
        </is>
      </c>
    </row>
    <row r="4">
      <c r="A4" t="inlineStr">
        <is>
          <t>Total debits, this month</t>
        </is>
      </c>
      <c r="B4" s="8">
        <f>SUM('GL data'!I:I)</f>
        <v/>
      </c>
      <c r="C4" s="8" t="n">
        <v>618545.9399999999</v>
      </c>
      <c r="D4" t="inlineStr">
        <is>
          <t>'=SUM('GL data'!I:I)</t>
        </is>
      </c>
    </row>
    <row r="5">
      <c r="A5" t="inlineStr">
        <is>
          <t>Total credits, this month</t>
        </is>
      </c>
      <c r="B5" s="8">
        <f>SUM('GL data'!J:J)</f>
        <v/>
      </c>
      <c r="C5" s="8" t="n">
        <v>618500.9399999999</v>
      </c>
      <c r="D5" t="inlineStr">
        <is>
          <t>'=SUM('GL data'!J:J)</t>
        </is>
      </c>
    </row>
    <row r="6">
      <c r="A6" t="inlineStr">
        <is>
          <t>Out of balance by</t>
        </is>
      </c>
      <c r="B6" s="8">
        <f>SUM('GL data'!I:I)-SUM('GL data'!J:J)</f>
        <v/>
      </c>
      <c r="C6" s="8" t="n">
        <v>45</v>
      </c>
      <c r="D6" t="inlineStr">
        <is>
          <t>'=SUM('GL data'!I:I)-SUM('GL data'!J:J)</t>
        </is>
      </c>
    </row>
    <row r="7">
      <c r="A7" t="inlineStr">
        <is>
          <t>JE-9104: debits minus credits</t>
        </is>
      </c>
      <c r="B7" s="8">
        <f>SUMIF('GL data'!B:B,"JE-9104",'GL data'!I:I)-SUMIF('GL data'!B:B,"JE-9104",'GL data'!J:J)</f>
        <v/>
      </c>
      <c r="C7" s="8" t="n">
        <v>45</v>
      </c>
      <c r="D7" t="inlineStr">
        <is>
          <t>'=SUMIF('GL data'!B:B,"JE-9104",'GL data'!I:I)-SUMIF('GL data'!B:B,"JE-9104",'GL data'!J:J)</t>
        </is>
      </c>
    </row>
    <row r="8">
      <c r="A8" t="inlineStr">
        <is>
          <t>Times Iron Mountain Records Mgmt ref IRO-202608-855 is posted as a debit</t>
        </is>
      </c>
      <c r="B8" s="8">
        <f>COUNTIFS('GL data'!F:F,"Iron Mountain Records Mgmt",'GL data'!H:H,"IRO-202608-855",'GL data'!I:I,1842.5)</f>
        <v/>
      </c>
      <c r="C8" s="8" t="n">
        <v>2</v>
      </c>
      <c r="D8" t="inlineStr">
        <is>
          <t>'=COUNTIFS('GL data'!F:F,"Iron Mountain Records Mgmt",'GL data'!H:H,"IRO-202608-855",'GL data'!I:I,1842.5)</t>
        </is>
      </c>
    </row>
    <row r="9">
      <c r="A9" t="inlineStr">
        <is>
          <t>6100 change vs prior month</t>
        </is>
      </c>
      <c r="B9" s="8">
        <f>(SUMIF('GL data'!D:D,"6100",'GL data'!I:I)-SUMIF('GL data'!D:D,"6100",'GL data'!J:J))-(SUMIF('Prior month GL data'!D:D,"6100",'Prior month GL data'!I:I)-SUMIF('Prior month GL data'!D:D,"6100",'Prior month GL data'!J:J))</f>
        <v/>
      </c>
      <c r="C9" s="8" t="n">
        <v>1821.45</v>
      </c>
      <c r="D9" t="inlineStr">
        <is>
          <t>'=(SUMIF('GL data'!D:D,"6100",'GL data'!I:I)-SUMIF('GL data'!D:D,"6100",'GL data'!J:J))-(SUMIF('Prior month GL data'!D:D,"6100",'Prior month GL data'!I:I)-SUMIF('Prior month GL data'!D:D,"6100",'Prior month GL data'!J:J))</t>
        </is>
      </c>
    </row>
    <row r="10">
      <c r="A10" t="inlineStr">
        <is>
          <t>6300 change vs prior month</t>
        </is>
      </c>
      <c r="B10" s="8">
        <f>(SUMIF('GL data'!D:D,"6300",'GL data'!I:I)-SUMIF('GL data'!D:D,"6300",'GL data'!J:J))-(SUMIF('Prior month GL data'!D:D,"6300",'Prior month GL data'!I:I)-SUMIF('Prior month GL data'!D:D,"6300",'Prior month GL data'!J:J))</f>
        <v/>
      </c>
      <c r="C10" s="8" t="n">
        <v>-1265.4</v>
      </c>
      <c r="D10" t="inlineStr">
        <is>
          <t>'=(SUMIF('GL data'!D:D,"6300",'GL data'!I:I)-SUMIF('GL data'!D:D,"6300",'GL data'!J:J))-(SUMIF('Prior month GL data'!D:D,"6300",'Prior month GL data'!I:I)-SUMIF('Prior month GL data'!D:D,"6300",'Prior month GL data'!J:J))</t>
        </is>
      </c>
    </row>
    <row r="11">
      <c r="A11" t="inlineStr">
        <is>
          <t>6450 change vs prior month</t>
        </is>
      </c>
      <c r="B11" s="8">
        <f>(SUMIF('GL data'!D:D,"6450",'GL data'!I:I)-SUMIF('GL data'!D:D,"6450",'GL data'!J:J))-(SUMIF('Prior month GL data'!D:D,"6450",'Prior month GL data'!I:I)-SUMIF('Prior month GL data'!D:D,"6450",'Prior month GL data'!J:J))</f>
        <v/>
      </c>
      <c r="C11" s="8" t="n">
        <v>5903.43</v>
      </c>
      <c r="D11" t="inlineStr">
        <is>
          <t>'=(SUMIF('GL data'!D:D,"6450",'GL data'!I:I)-SUMIF('GL data'!D:D,"6450",'GL data'!J:J))-(SUMIF('Prior month GL data'!D:D,"6450",'Prior month GL data'!I:I)-SUMIF('Prior month GL data'!D:D,"6450",'Prior month GL data'!J:J))</t>
        </is>
      </c>
    </row>
    <row r="12">
      <c r="A12" t="inlineStr">
        <is>
          <t>6500 change vs prior month</t>
        </is>
      </c>
      <c r="B12" s="8">
        <f>(SUMIF('GL data'!D:D,"6500",'GL data'!I:I)-SUMIF('GL data'!D:D,"6500",'GL data'!J:J))-(SUMIF('Prior month GL data'!D:D,"6500",'Prior month GL data'!I:I)-SUMIF('Prior month GL data'!D:D,"6500",'Prior month GL data'!J:J))</f>
        <v/>
      </c>
      <c r="C12" s="8" t="n">
        <v>1842.5</v>
      </c>
      <c r="D12" t="inlineStr">
        <is>
          <t>'=(SUMIF('GL data'!D:D,"6500",'GL data'!I:I)-SUMIF('GL data'!D:D,"6500",'GL data'!J:J))-(SUMIF('Prior month GL data'!D:D,"6500",'Prior month GL data'!I:I)-SUMIF('Prior month GL data'!D:D,"6500",'Prior month GL data'!J:J))</t>
        </is>
      </c>
    </row>
    <row r="13">
      <c r="A13" t="inlineStr">
        <is>
          <t>6600 change vs prior month</t>
        </is>
      </c>
      <c r="B13" s="8">
        <f>(SUMIF('GL data'!D:D,"6600",'GL data'!I:I)-SUMIF('GL data'!D:D,"6600",'GL data'!J:J))-(SUMIF('Prior month GL data'!D:D,"6600",'Prior month GL data'!I:I)-SUMIF('Prior month GL data'!D:D,"6600",'Prior month GL data'!J:J))</f>
        <v/>
      </c>
      <c r="C13" s="8" t="n">
        <v>34500</v>
      </c>
      <c r="D13" t="inlineStr">
        <is>
          <t>'=(SUMIF('GL data'!D:D,"6600",'GL data'!I:I)-SUMIF('GL data'!D:D,"6600",'GL data'!J:J))-(SUMIF('Prior month GL data'!D:D,"6600",'Prior month GL data'!I:I)-SUMIF('Prior month GL data'!D:D,"6600",'Prior month GL data'!J:J))</t>
        </is>
      </c>
    </row>
    <row r="14">
      <c r="A14" t="inlineStr">
        <is>
          <t>6700 change vs prior month</t>
        </is>
      </c>
      <c r="B14" s="8">
        <f>(SUMIF('GL data'!D:D,"6700",'GL data'!I:I)-SUMIF('GL data'!D:D,"6700",'GL data'!J:J))-(SUMIF('Prior month GL data'!D:D,"6700",'Prior month GL data'!I:I)-SUMIF('Prior month GL data'!D:D,"6700",'Prior month GL data'!J:J))</f>
        <v/>
      </c>
      <c r="C14" s="8" t="n">
        <v>-12405</v>
      </c>
      <c r="D14" t="inlineStr">
        <is>
          <t>'=(SUMIF('GL data'!D:D,"6700",'GL data'!I:I)-SUMIF('GL data'!D:D,"6700",'GL data'!J:J))-(SUMIF('Prior month GL data'!D:D,"6700",'Prior month GL data'!I:I)-SUMIF('Prior month GL data'!D:D,"6700",'Prior month GL data'!J:J))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4" customWidth="1" min="4" max="4"/>
    <col width="14" customWidth="1" min="5" max="5"/>
    <col width="11" customWidth="1" min="6" max="6"/>
  </cols>
  <sheetData>
    <row r="1">
      <c r="A1" s="1" t="inlineStr">
        <is>
          <t>account</t>
        </is>
      </c>
      <c r="B1" s="1" t="inlineStr">
        <is>
          <t>account_name</t>
        </is>
      </c>
      <c r="C1" s="1" t="inlineStr">
        <is>
          <t>prior</t>
        </is>
      </c>
      <c r="D1" s="1" t="inlineStr">
        <is>
          <t>current</t>
        </is>
      </c>
      <c r="E1" s="1" t="inlineStr">
        <is>
          <t>change</t>
        </is>
      </c>
      <c r="F1" s="1" t="inlineStr">
        <is>
          <t>change_pct</t>
        </is>
      </c>
    </row>
    <row r="2"/>
    <row r="3">
      <c r="A3" t="inlineStr">
        <is>
          <t>4000</t>
        </is>
      </c>
      <c r="B3" t="inlineStr">
        <is>
          <t>Service Revenue - Carriers</t>
        </is>
      </c>
      <c r="C3" s="8" t="n">
        <v>-38243.26</v>
      </c>
      <c r="D3" s="8" t="n">
        <v>-38200.17</v>
      </c>
      <c r="E3" s="8" t="n">
        <v>43.09</v>
      </c>
      <c r="F3" t="n">
        <v>0.1</v>
      </c>
    </row>
    <row r="4">
      <c r="A4" t="inlineStr">
        <is>
          <t>4100</t>
        </is>
      </c>
      <c r="B4" t="inlineStr">
        <is>
          <t>Copy Fee Revenue - Requestors</t>
        </is>
      </c>
      <c r="C4" s="8" t="n">
        <v>-41582.75</v>
      </c>
      <c r="D4" s="8" t="n">
        <v>-41990.26</v>
      </c>
      <c r="E4" s="8" t="n">
        <v>-407.51</v>
      </c>
      <c r="F4" t="n">
        <v>-1</v>
      </c>
    </row>
    <row r="5">
      <c r="A5" t="inlineStr">
        <is>
          <t>5000</t>
        </is>
      </c>
      <c r="B5" t="inlineStr">
        <is>
          <t>Salaries &amp; Wages</t>
        </is>
      </c>
      <c r="C5" s="8" t="n">
        <v>373941.45</v>
      </c>
      <c r="D5" s="8" t="n">
        <v>376900.8</v>
      </c>
      <c r="E5" s="8" t="n">
        <v>2959.35</v>
      </c>
      <c r="F5" t="n">
        <v>0.8</v>
      </c>
    </row>
    <row r="6">
      <c r="A6" t="inlineStr">
        <is>
          <t>5100</t>
        </is>
      </c>
      <c r="B6" t="inlineStr">
        <is>
          <t>Payroll Taxes &amp; Benefits</t>
        </is>
      </c>
      <c r="C6" s="8" t="n">
        <v>44125.09</v>
      </c>
      <c r="D6" s="8" t="n">
        <v>44474.3</v>
      </c>
      <c r="E6" s="8" t="n">
        <v>349.21</v>
      </c>
      <c r="F6" t="n">
        <v>0.8</v>
      </c>
    </row>
    <row r="7">
      <c r="A7" t="inlineStr">
        <is>
          <t>6100</t>
        </is>
      </c>
      <c r="B7" t="inlineStr">
        <is>
          <t>Office Supplies</t>
        </is>
      </c>
      <c r="C7" s="8" t="n">
        <v>3420.64</v>
      </c>
      <c r="D7" s="8" t="n">
        <v>5242.09</v>
      </c>
      <c r="E7" s="8" t="n">
        <v>1821.45</v>
      </c>
      <c r="F7" t="n">
        <v>53.2</v>
      </c>
    </row>
    <row r="8">
      <c r="A8" t="inlineStr">
        <is>
          <t>6200</t>
        </is>
      </c>
      <c r="B8" t="inlineStr">
        <is>
          <t>Rent &amp; Occupancy</t>
        </is>
      </c>
      <c r="C8" s="8" t="n">
        <v>18500</v>
      </c>
      <c r="D8" s="8" t="n">
        <v>21480</v>
      </c>
      <c r="E8" s="8" t="n">
        <v>2980</v>
      </c>
      <c r="F8" t="n">
        <v>16.1</v>
      </c>
    </row>
    <row r="9">
      <c r="A9" t="inlineStr">
        <is>
          <t>6300</t>
        </is>
      </c>
      <c r="B9" t="inlineStr">
        <is>
          <t>Telephone &amp; Internet</t>
        </is>
      </c>
      <c r="C9" s="8" t="n">
        <v>1655.39</v>
      </c>
      <c r="D9" s="8" t="n">
        <v>389.99</v>
      </c>
      <c r="E9" s="8" t="n">
        <v>-1265.4</v>
      </c>
      <c r="F9" t="n">
        <v>-76.40000000000001</v>
      </c>
    </row>
    <row r="10">
      <c r="A10" t="inlineStr">
        <is>
          <t>6420</t>
        </is>
      </c>
      <c r="B10" t="inlineStr">
        <is>
          <t>Software Subscriptions</t>
        </is>
      </c>
      <c r="C10" s="8" t="n">
        <v>8582.969999999999</v>
      </c>
      <c r="D10" s="8" t="n">
        <v>7168.16</v>
      </c>
      <c r="E10" s="8" t="n">
        <v>-1414.81</v>
      </c>
      <c r="F10" t="n">
        <v>-16.5</v>
      </c>
    </row>
    <row r="11">
      <c r="A11" t="inlineStr">
        <is>
          <t>6450</t>
        </is>
      </c>
      <c r="B11" t="inlineStr">
        <is>
          <t>Cloud Hosting</t>
        </is>
      </c>
      <c r="C11" s="8" t="n">
        <v>14342.18</v>
      </c>
      <c r="D11" s="8" t="n">
        <v>20245.61</v>
      </c>
      <c r="E11" s="8" t="n">
        <v>5903.43</v>
      </c>
      <c r="F11" t="n">
        <v>41.2</v>
      </c>
    </row>
    <row r="12">
      <c r="A12" t="inlineStr">
        <is>
          <t>6500</t>
        </is>
      </c>
      <c r="B12" t="inlineStr">
        <is>
          <t>Records Storage &amp; Destruction</t>
        </is>
      </c>
      <c r="C12" s="8" t="n">
        <v>2482.5</v>
      </c>
      <c r="D12" s="8" t="n">
        <v>4325</v>
      </c>
      <c r="E12" s="8" t="n">
        <v>1842.5</v>
      </c>
      <c r="F12" t="n">
        <v>74.2</v>
      </c>
    </row>
    <row r="13">
      <c r="A13" t="inlineStr">
        <is>
          <t>6600</t>
        </is>
      </c>
      <c r="B13" t="inlineStr">
        <is>
          <t>Professional Fees</t>
        </is>
      </c>
      <c r="C13" s="8" t="n">
        <v>3500</v>
      </c>
      <c r="D13" s="8" t="n">
        <v>38000</v>
      </c>
      <c r="E13" s="8" t="n">
        <v>34500</v>
      </c>
      <c r="F13" t="n">
        <v>985.7</v>
      </c>
    </row>
    <row r="14">
      <c r="A14" t="inlineStr">
        <is>
          <t>6700</t>
        </is>
      </c>
      <c r="B14" t="inlineStr">
        <is>
          <t>Insurance</t>
        </is>
      </c>
      <c r="C14" s="8" t="n">
        <v>2210</v>
      </c>
      <c r="D14" s="8" t="n">
        <v>-10195</v>
      </c>
      <c r="E14" s="8" t="n">
        <v>-12405</v>
      </c>
      <c r="F14" t="n">
        <v>-561.3</v>
      </c>
    </row>
    <row r="15">
      <c r="A15" t="inlineStr">
        <is>
          <t>6900</t>
        </is>
      </c>
      <c r="B15" t="inlineStr">
        <is>
          <t>Travel &amp; Meals</t>
        </is>
      </c>
      <c r="C15" s="8" t="n">
        <v>5528.53</v>
      </c>
      <c r="D15" s="8" t="n">
        <v>5469.56</v>
      </c>
      <c r="E15" s="8" t="n">
        <v>-58.97</v>
      </c>
      <c r="F15" t="n">
        <v>-1.1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What it looks for</t>
        </is>
      </c>
      <c r="C1" s="1" t="inlineStr">
        <is>
          <t>Findings</t>
        </is>
      </c>
    </row>
    <row r="2"/>
    <row r="3">
      <c r="A3" s="3" t="inlineStr">
        <is>
          <t>Unbalanced entry</t>
        </is>
      </c>
      <c r="B3" s="3" t="inlineStr">
        <is>
          <t>Every journal entry's debits must equal its credits. Differences divisible by 9 usually mean swapped digits.</t>
        </is>
      </c>
      <c r="C3" s="3" t="n">
        <v>1</v>
      </c>
    </row>
    <row r="4">
      <c r="A4" s="3" t="inlineStr">
        <is>
          <t>Duplicate</t>
        </is>
      </c>
      <c r="B4" s="3" t="inlineStr">
        <is>
          <t>Same vendor, same invoice/reference, same amount and account posted in more than one journal entry.</t>
        </is>
      </c>
      <c r="C4" s="3" t="n">
        <v>1</v>
      </c>
    </row>
    <row r="5">
      <c r="A5" s="3" t="inlineStr">
        <is>
          <t>Possible duplicate</t>
        </is>
      </c>
      <c r="B5" s="3" t="inlineStr">
        <is>
          <t>Same vendor and amount (&gt;= $500) with different references within 14 days.</t>
        </is>
      </c>
      <c r="C5" s="3" t="n">
        <v>1</v>
      </c>
    </row>
    <row r="6">
      <c r="A6" s="3" t="inlineStr">
        <is>
          <t>Repeated identical charge</t>
        </is>
      </c>
      <c r="B6" s="3" t="inlineStr">
        <is>
          <t>Same vendor and exact amount 3+ times in the month (under $500). Can be legit (per-seat fees) or a billing loop.</t>
        </is>
      </c>
      <c r="C6" s="3" t="n">
        <v>1</v>
      </c>
    </row>
    <row r="7">
      <c r="A7" s="3" t="inlineStr">
        <is>
          <t>Split purchase pattern</t>
        </is>
      </c>
      <c r="B7" s="3" t="inlineStr">
        <is>
          <t>3+ charges from one vendor on the same day, or same-day charges that total more than $500.0 while each is under it.</t>
        </is>
      </c>
      <c r="C7" s="3" t="n">
        <v>3</v>
      </c>
    </row>
    <row r="8">
      <c r="A8" s="3" t="inlineStr">
        <is>
          <t>Coding</t>
        </is>
      </c>
      <c r="B8" s="3" t="inlineStr">
        <is>
          <t>Vendor matches a rule in coding_rules.csv but is posted to a different account.</t>
        </is>
      </c>
      <c r="C8" s="3" t="n">
        <v>2</v>
      </c>
    </row>
    <row r="9">
      <c r="A9" s="3" t="inlineStr">
        <is>
          <t>Missing recurring</t>
        </is>
      </c>
      <c r="B9" s="3" t="inlineStr">
        <is>
          <t>Vendor billed in every prior month provided but not this month.</t>
        </is>
      </c>
      <c r="C9" s="3" t="n">
        <v>1</v>
      </c>
    </row>
    <row r="10">
      <c r="A10" s="3" t="inlineStr">
        <is>
          <t>Variance</t>
        </is>
      </c>
      <c r="B10" s="3" t="inlineStr">
        <is>
          <t>Revenue or expense account moved at least $1000.0 and 25.0% vs the prior month.</t>
        </is>
      </c>
      <c r="C10" s="3" t="n">
        <v>6</v>
      </c>
    </row>
    <row r="11">
      <c r="A11" s="3" t="inlineStr">
        <is>
          <t>Manual entry review</t>
        </is>
      </c>
      <c r="B11" s="3" t="inlineStr">
        <is>
          <t>Manual journal entry with 2+ of: weekend date, round amount &gt;= $10000.0, vague description, no reference.</t>
        </is>
      </c>
      <c r="C11" s="3" t="n">
        <v>1</v>
      </c>
    </row>
    <row r="12">
      <c r="A12" s="3" t="inlineStr">
        <is>
          <t>AP payments not in GL</t>
        </is>
      </c>
      <c r="B12" s="3" t="inlineStr">
        <is>
          <t>Vendor bills are credited to AP but no payments ever debit AP in the months provided.</t>
        </is>
      </c>
      <c r="C12" s="3" t="n">
        <v>1</v>
      </c>
    </row>
    <row r="13">
      <c r="A13" s="3" t="inlineStr">
        <is>
          <t>Check sequence gap</t>
        </is>
      </c>
      <c r="B13" s="3" t="inlineStr">
        <is>
          <t>Check numbers in the disbursements register skip a number.</t>
        </is>
      </c>
      <c r="C13" s="3" t="n">
        <v>1</v>
      </c>
    </row>
    <row r="14">
      <c r="A14" s="3" t="inlineStr">
        <is>
          <t>Payment does not match a bill</t>
        </is>
      </c>
      <c r="B14" s="3" t="inlineStr">
        <is>
          <t>A payment in the disbursements register has no vendor bill of the same amount in the months provided.</t>
        </is>
      </c>
      <c r="C14" s="3" t="n">
        <v>1</v>
      </c>
    </row>
    <row r="15">
      <c r="A15" s="3" t="inlineStr">
        <is>
          <t>Bank rec</t>
        </is>
      </c>
      <c r="B15" s="3" t="inlineStr">
        <is>
          <t>Every bank line matched to a GL cash entry or a register payment of the same amount within 7 days.</t>
        </is>
      </c>
      <c r="C15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8" customWidth="1" min="4" max="4"/>
    <col width="26" customWidth="1" min="5" max="5"/>
    <col width="26" customWidth="1" min="6" max="6"/>
    <col width="34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>
      <c r="A1" s="1" t="inlineStr">
        <is>
          <t>entry_id</t>
        </is>
      </c>
      <c r="B1" s="1" t="inlineStr">
        <is>
          <t>journal_ref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account_name</t>
        </is>
      </c>
      <c r="F1" s="1" t="inlineStr">
        <is>
          <t>vendor_or_customer</t>
        </is>
      </c>
      <c r="G1" s="1" t="inlineStr">
        <is>
          <t>description</t>
        </is>
      </c>
      <c r="H1" s="1" t="inlineStr">
        <is>
          <t>reference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source</t>
        </is>
      </c>
      <c r="L1" s="1" t="inlineStr">
        <is>
          <t>entered_by</t>
        </is>
      </c>
      <c r="M1" s="1" t="inlineStr">
        <is>
          <t>memo</t>
        </is>
      </c>
    </row>
    <row r="2"/>
    <row r="3">
      <c r="A3" t="inlineStr">
        <is>
          <t>202608-0007</t>
        </is>
      </c>
      <c r="B3" t="inlineStr">
        <is>
          <t>JE-6165</t>
        </is>
      </c>
      <c r="C3" t="inlineStr">
        <is>
          <t>2026-08-01</t>
        </is>
      </c>
      <c r="D3" t="n">
        <v>6420</v>
      </c>
      <c r="E3" t="inlineStr">
        <is>
          <t>Software Subscriptions</t>
        </is>
      </c>
      <c r="F3" t="inlineStr">
        <is>
          <t>Microsoft 365 Business</t>
        </is>
      </c>
      <c r="G3" t="inlineStr">
        <is>
          <t>Microsoft 365 Business - monthly</t>
        </is>
      </c>
      <c r="H3" t="inlineStr">
        <is>
          <t>MIC-202608-268</t>
        </is>
      </c>
      <c r="I3" t="n">
        <v>2380</v>
      </c>
      <c r="K3" t="inlineStr">
        <is>
          <t>AP</t>
        </is>
      </c>
      <c r="L3" t="inlineStr">
        <is>
          <t>system</t>
        </is>
      </c>
      <c r="M3" t="inlineStr"/>
    </row>
    <row r="4">
      <c r="A4" t="inlineStr">
        <is>
          <t>202608-0008</t>
        </is>
      </c>
      <c r="B4" t="inlineStr">
        <is>
          <t>JE-6165</t>
        </is>
      </c>
      <c r="C4" t="inlineStr">
        <is>
          <t>2026-08-01</t>
        </is>
      </c>
      <c r="D4" t="n">
        <v>2000</v>
      </c>
      <c r="E4" t="inlineStr">
        <is>
          <t>Accounts Payable</t>
        </is>
      </c>
      <c r="F4" t="inlineStr">
        <is>
          <t>Microsoft 365 Business</t>
        </is>
      </c>
      <c r="G4" t="inlineStr">
        <is>
          <t>Microsoft 365 Business - monthly</t>
        </is>
      </c>
      <c r="H4" t="inlineStr">
        <is>
          <t>MIC-202608-268</t>
        </is>
      </c>
      <c r="J4" t="n">
        <v>2380</v>
      </c>
      <c r="K4" t="inlineStr">
        <is>
          <t>AP</t>
        </is>
      </c>
      <c r="L4" t="inlineStr">
        <is>
          <t>system</t>
        </is>
      </c>
      <c r="M4" t="inlineStr"/>
    </row>
    <row r="5">
      <c r="A5" t="inlineStr">
        <is>
          <t>202608-0009</t>
        </is>
      </c>
      <c r="B5" t="inlineStr">
        <is>
          <t>JE-6166</t>
        </is>
      </c>
      <c r="C5" t="inlineStr">
        <is>
          <t>2026-08-01</t>
        </is>
      </c>
      <c r="D5" t="n">
        <v>6420</v>
      </c>
      <c r="E5" t="inlineStr">
        <is>
          <t>Software Subscriptions</t>
        </is>
      </c>
      <c r="F5" t="inlineStr">
        <is>
          <t>HubSpot Inc.</t>
        </is>
      </c>
      <c r="G5" t="inlineStr">
        <is>
          <t>HubSpot Inc. - monthly</t>
        </is>
      </c>
      <c r="H5" t="inlineStr">
        <is>
          <t>HUB-202608-776</t>
        </is>
      </c>
      <c r="I5" t="n">
        <v>3150</v>
      </c>
      <c r="K5" t="inlineStr">
        <is>
          <t>AP</t>
        </is>
      </c>
      <c r="L5" t="inlineStr">
        <is>
          <t>system</t>
        </is>
      </c>
      <c r="M5" t="inlineStr"/>
    </row>
    <row r="6">
      <c r="A6" t="inlineStr">
        <is>
          <t>202608-0010</t>
        </is>
      </c>
      <c r="B6" t="inlineStr">
        <is>
          <t>JE-6166</t>
        </is>
      </c>
      <c r="C6" t="inlineStr">
        <is>
          <t>2026-08-01</t>
        </is>
      </c>
      <c r="D6" t="n">
        <v>2000</v>
      </c>
      <c r="E6" t="inlineStr">
        <is>
          <t>Accounts Payable</t>
        </is>
      </c>
      <c r="F6" t="inlineStr">
        <is>
          <t>HubSpot Inc.</t>
        </is>
      </c>
      <c r="G6" t="inlineStr">
        <is>
          <t>HubSpot Inc. - monthly</t>
        </is>
      </c>
      <c r="H6" t="inlineStr">
        <is>
          <t>HUB-202608-776</t>
        </is>
      </c>
      <c r="J6" t="n">
        <v>3150</v>
      </c>
      <c r="K6" t="inlineStr">
        <is>
          <t>AP</t>
        </is>
      </c>
      <c r="L6" t="inlineStr">
        <is>
          <t>system</t>
        </is>
      </c>
      <c r="M6" t="inlineStr"/>
    </row>
    <row r="7">
      <c r="A7" t="inlineStr">
        <is>
          <t>202608-0015</t>
        </is>
      </c>
      <c r="B7" t="inlineStr">
        <is>
          <t>JE-6169</t>
        </is>
      </c>
      <c r="C7" t="inlineStr">
        <is>
          <t>2026-08-01</t>
        </is>
      </c>
      <c r="D7" t="n">
        <v>6200</v>
      </c>
      <c r="E7" t="inlineStr">
        <is>
          <t>Rent &amp; Occupancy</t>
        </is>
      </c>
      <c r="F7" t="inlineStr">
        <is>
          <t>Marconi Realty LLC</t>
        </is>
      </c>
      <c r="G7" t="inlineStr">
        <is>
          <t>Marconi Realty LLC - monthly</t>
        </is>
      </c>
      <c r="H7" t="inlineStr">
        <is>
          <t>MAR-202608-269</t>
        </is>
      </c>
      <c r="I7" t="n">
        <v>18500</v>
      </c>
      <c r="K7" t="inlineStr">
        <is>
          <t>AP</t>
        </is>
      </c>
      <c r="L7" t="inlineStr">
        <is>
          <t>system</t>
        </is>
      </c>
      <c r="M7" t="inlineStr"/>
    </row>
    <row r="8">
      <c r="A8" t="inlineStr">
        <is>
          <t>202608-0016</t>
        </is>
      </c>
      <c r="B8" t="inlineStr">
        <is>
          <t>JE-6169</t>
        </is>
      </c>
      <c r="C8" t="inlineStr">
        <is>
          <t>2026-08-01</t>
        </is>
      </c>
      <c r="D8" t="n">
        <v>2000</v>
      </c>
      <c r="E8" t="inlineStr">
        <is>
          <t>Accounts Payable</t>
        </is>
      </c>
      <c r="F8" t="inlineStr">
        <is>
          <t>Marconi Realty LLC</t>
        </is>
      </c>
      <c r="G8" t="inlineStr">
        <is>
          <t>Marconi Realty LLC - monthly</t>
        </is>
      </c>
      <c r="H8" t="inlineStr">
        <is>
          <t>MAR-202608-269</t>
        </is>
      </c>
      <c r="J8" t="n">
        <v>18500</v>
      </c>
      <c r="K8" t="inlineStr">
        <is>
          <t>AP</t>
        </is>
      </c>
      <c r="L8" t="inlineStr">
        <is>
          <t>system</t>
        </is>
      </c>
      <c r="M8" t="inlineStr"/>
    </row>
    <row r="9">
      <c r="A9" t="inlineStr">
        <is>
          <t>202608-0031</t>
        </is>
      </c>
      <c r="B9" t="inlineStr">
        <is>
          <t>JE-6176</t>
        </is>
      </c>
      <c r="C9" t="inlineStr">
        <is>
          <t>2026-08-01</t>
        </is>
      </c>
      <c r="D9" t="n">
        <v>1100</v>
      </c>
      <c r="E9" t="inlineStr">
        <is>
          <t>Accounts Receivable - Carriers</t>
        </is>
      </c>
      <c r="F9" t="inlineStr">
        <is>
          <t>Harborline Mutual Insurance</t>
        </is>
      </c>
      <c r="G9" t="inlineStr">
        <is>
          <t>Monthly service fee - Harborline Mutual Insurance</t>
        </is>
      </c>
      <c r="H9" t="inlineStr">
        <is>
          <t>AR</t>
        </is>
      </c>
      <c r="I9" t="n">
        <v>8287.280000000001</v>
      </c>
      <c r="K9" t="inlineStr">
        <is>
          <t>AR</t>
        </is>
      </c>
      <c r="L9" t="inlineStr">
        <is>
          <t>system</t>
        </is>
      </c>
      <c r="M9" t="inlineStr"/>
    </row>
    <row r="10">
      <c r="A10" t="inlineStr">
        <is>
          <t>202608-0032</t>
        </is>
      </c>
      <c r="B10" t="inlineStr">
        <is>
          <t>JE-6176</t>
        </is>
      </c>
      <c r="C10" t="inlineStr">
        <is>
          <t>2026-08-01</t>
        </is>
      </c>
      <c r="D10" t="n">
        <v>4000</v>
      </c>
      <c r="E10" t="inlineStr">
        <is>
          <t>Service Revenue - Carriers</t>
        </is>
      </c>
      <c r="F10" t="inlineStr">
        <is>
          <t>Harborline Mutual Insurance</t>
        </is>
      </c>
      <c r="G10" t="inlineStr">
        <is>
          <t>Monthly service fee - Harborline Mutual Insurance</t>
        </is>
      </c>
      <c r="H10" t="inlineStr">
        <is>
          <t>AR</t>
        </is>
      </c>
      <c r="J10" t="n">
        <v>8287.280000000001</v>
      </c>
      <c r="K10" t="inlineStr">
        <is>
          <t>AR</t>
        </is>
      </c>
      <c r="L10" t="inlineStr">
        <is>
          <t>system</t>
        </is>
      </c>
      <c r="M10" t="inlineStr"/>
    </row>
    <row r="11">
      <c r="A11" t="inlineStr">
        <is>
          <t>202608-0033</t>
        </is>
      </c>
      <c r="B11" t="inlineStr">
        <is>
          <t>JE-6177</t>
        </is>
      </c>
      <c r="C11" t="inlineStr">
        <is>
          <t>2026-08-01</t>
        </is>
      </c>
      <c r="D11" t="n">
        <v>1100</v>
      </c>
      <c r="E11" t="inlineStr">
        <is>
          <t>Accounts Receivable - Carriers</t>
        </is>
      </c>
      <c r="F11" t="inlineStr">
        <is>
          <t>Granite Shield Insurance</t>
        </is>
      </c>
      <c r="G11" t="inlineStr">
        <is>
          <t>Monthly service fee - Granite Shield Insurance</t>
        </is>
      </c>
      <c r="H11" t="inlineStr">
        <is>
          <t>AR</t>
        </is>
      </c>
      <c r="I11" t="n">
        <v>6441.67</v>
      </c>
      <c r="K11" t="inlineStr">
        <is>
          <t>AR</t>
        </is>
      </c>
      <c r="L11" t="inlineStr">
        <is>
          <t>system</t>
        </is>
      </c>
      <c r="M11" t="inlineStr"/>
    </row>
    <row r="12">
      <c r="A12" t="inlineStr">
        <is>
          <t>202608-0034</t>
        </is>
      </c>
      <c r="B12" t="inlineStr">
        <is>
          <t>JE-6177</t>
        </is>
      </c>
      <c r="C12" t="inlineStr">
        <is>
          <t>2026-08-01</t>
        </is>
      </c>
      <c r="D12" t="n">
        <v>4000</v>
      </c>
      <c r="E12" t="inlineStr">
        <is>
          <t>Service Revenue - Carriers</t>
        </is>
      </c>
      <c r="F12" t="inlineStr">
        <is>
          <t>Granite Shield Insurance</t>
        </is>
      </c>
      <c r="G12" t="inlineStr">
        <is>
          <t>Monthly service fee - Granite Shield Insurance</t>
        </is>
      </c>
      <c r="H12" t="inlineStr">
        <is>
          <t>AR</t>
        </is>
      </c>
      <c r="J12" t="n">
        <v>6441.67</v>
      </c>
      <c r="K12" t="inlineStr">
        <is>
          <t>AR</t>
        </is>
      </c>
      <c r="L12" t="inlineStr">
        <is>
          <t>system</t>
        </is>
      </c>
      <c r="M12" t="inlineStr"/>
    </row>
    <row r="13">
      <c r="A13" t="inlineStr">
        <is>
          <t>202608-0035</t>
        </is>
      </c>
      <c r="B13" t="inlineStr">
        <is>
          <t>JE-6178</t>
        </is>
      </c>
      <c r="C13" t="inlineStr">
        <is>
          <t>2026-08-01</t>
        </is>
      </c>
      <c r="D13" t="n">
        <v>1100</v>
      </c>
      <c r="E13" t="inlineStr">
        <is>
          <t>Accounts Receivable - Carriers</t>
        </is>
      </c>
      <c r="F13" t="inlineStr">
        <is>
          <t>Keystone Auto Group</t>
        </is>
      </c>
      <c r="G13" t="inlineStr">
        <is>
          <t>Monthly service fee - Keystone Auto Group</t>
        </is>
      </c>
      <c r="H13" t="inlineStr">
        <is>
          <t>AR</t>
        </is>
      </c>
      <c r="I13" t="n">
        <v>5549.56</v>
      </c>
      <c r="K13" t="inlineStr">
        <is>
          <t>AR</t>
        </is>
      </c>
      <c r="L13" t="inlineStr">
        <is>
          <t>system</t>
        </is>
      </c>
      <c r="M13" t="inlineStr"/>
    </row>
    <row r="14">
      <c r="A14" t="inlineStr">
        <is>
          <t>202608-0036</t>
        </is>
      </c>
      <c r="B14" t="inlineStr">
        <is>
          <t>JE-6178</t>
        </is>
      </c>
      <c r="C14" t="inlineStr">
        <is>
          <t>2026-08-01</t>
        </is>
      </c>
      <c r="D14" t="n">
        <v>4000</v>
      </c>
      <c r="E14" t="inlineStr">
        <is>
          <t>Service Revenue - Carriers</t>
        </is>
      </c>
      <c r="F14" t="inlineStr">
        <is>
          <t>Keystone Auto Group</t>
        </is>
      </c>
      <c r="G14" t="inlineStr">
        <is>
          <t>Monthly service fee - Keystone Auto Group</t>
        </is>
      </c>
      <c r="H14" t="inlineStr">
        <is>
          <t>AR</t>
        </is>
      </c>
      <c r="J14" t="n">
        <v>5549.56</v>
      </c>
      <c r="K14" t="inlineStr">
        <is>
          <t>AR</t>
        </is>
      </c>
      <c r="L14" t="inlineStr">
        <is>
          <t>system</t>
        </is>
      </c>
      <c r="M14" t="inlineStr"/>
    </row>
    <row r="15">
      <c r="A15" t="inlineStr">
        <is>
          <t>202608-0037</t>
        </is>
      </c>
      <c r="B15" t="inlineStr">
        <is>
          <t>JE-6179</t>
        </is>
      </c>
      <c r="C15" t="inlineStr">
        <is>
          <t>2026-08-01</t>
        </is>
      </c>
      <c r="D15" t="n">
        <v>1100</v>
      </c>
      <c r="E15" t="inlineStr">
        <is>
          <t>Accounts Receivable - Carriers</t>
        </is>
      </c>
      <c r="F15" t="inlineStr">
        <is>
          <t>Tri-County Workers' Comp Fund</t>
        </is>
      </c>
      <c r="G15" t="inlineStr">
        <is>
          <t>Monthly service fee - Tri-County Workers' Comp Fund</t>
        </is>
      </c>
      <c r="H15" t="inlineStr">
        <is>
          <t>AR</t>
        </is>
      </c>
      <c r="I15" t="n">
        <v>4042.89</v>
      </c>
      <c r="K15" t="inlineStr">
        <is>
          <t>AR</t>
        </is>
      </c>
      <c r="L15" t="inlineStr">
        <is>
          <t>system</t>
        </is>
      </c>
      <c r="M15" t="inlineStr"/>
    </row>
    <row r="16">
      <c r="A16" t="inlineStr">
        <is>
          <t>202608-0038</t>
        </is>
      </c>
      <c r="B16" t="inlineStr">
        <is>
          <t>JE-6179</t>
        </is>
      </c>
      <c r="C16" t="inlineStr">
        <is>
          <t>2026-08-01</t>
        </is>
      </c>
      <c r="D16" t="n">
        <v>4000</v>
      </c>
      <c r="E16" t="inlineStr">
        <is>
          <t>Service Revenue - Carriers</t>
        </is>
      </c>
      <c r="F16" t="inlineStr">
        <is>
          <t>Tri-County Workers' Comp Fund</t>
        </is>
      </c>
      <c r="G16" t="inlineStr">
        <is>
          <t>Monthly service fee - Tri-County Workers' Comp Fund</t>
        </is>
      </c>
      <c r="H16" t="inlineStr">
        <is>
          <t>AR</t>
        </is>
      </c>
      <c r="J16" t="n">
        <v>4042.89</v>
      </c>
      <c r="K16" t="inlineStr">
        <is>
          <t>AR</t>
        </is>
      </c>
      <c r="L16" t="inlineStr">
        <is>
          <t>system</t>
        </is>
      </c>
      <c r="M16" t="inlineStr"/>
    </row>
    <row r="17">
      <c r="A17" t="inlineStr">
        <is>
          <t>202608-0039</t>
        </is>
      </c>
      <c r="B17" t="inlineStr">
        <is>
          <t>JE-6180</t>
        </is>
      </c>
      <c r="C17" t="inlineStr">
        <is>
          <t>2026-08-01</t>
        </is>
      </c>
      <c r="D17" t="n">
        <v>1100</v>
      </c>
      <c r="E17" t="inlineStr">
        <is>
          <t>Accounts Receivable - Carriers</t>
        </is>
      </c>
      <c r="F17" t="inlineStr">
        <is>
          <t>Beacon Casualty Company</t>
        </is>
      </c>
      <c r="G17" t="inlineStr">
        <is>
          <t>Monthly service fee - Beacon Casualty Company</t>
        </is>
      </c>
      <c r="H17" t="inlineStr">
        <is>
          <t>AR</t>
        </is>
      </c>
      <c r="I17" t="n">
        <v>4866.79</v>
      </c>
      <c r="K17" t="inlineStr">
        <is>
          <t>AR</t>
        </is>
      </c>
      <c r="L17" t="inlineStr">
        <is>
          <t>system</t>
        </is>
      </c>
      <c r="M17" t="inlineStr"/>
    </row>
    <row r="18">
      <c r="A18" t="inlineStr">
        <is>
          <t>202608-0040</t>
        </is>
      </c>
      <c r="B18" t="inlineStr">
        <is>
          <t>JE-6180</t>
        </is>
      </c>
      <c r="C18" t="inlineStr">
        <is>
          <t>2026-08-01</t>
        </is>
      </c>
      <c r="D18" t="n">
        <v>4000</v>
      </c>
      <c r="E18" t="inlineStr">
        <is>
          <t>Service Revenue - Carriers</t>
        </is>
      </c>
      <c r="F18" t="inlineStr">
        <is>
          <t>Beacon Casualty Company</t>
        </is>
      </c>
      <c r="G18" t="inlineStr">
        <is>
          <t>Monthly service fee - Beacon Casualty Company</t>
        </is>
      </c>
      <c r="H18" t="inlineStr">
        <is>
          <t>AR</t>
        </is>
      </c>
      <c r="J18" t="n">
        <v>4866.79</v>
      </c>
      <c r="K18" t="inlineStr">
        <is>
          <t>AR</t>
        </is>
      </c>
      <c r="L18" t="inlineStr">
        <is>
          <t>system</t>
        </is>
      </c>
      <c r="M18" t="inlineStr"/>
    </row>
    <row r="19">
      <c r="A19" t="inlineStr">
        <is>
          <t>202608-0041</t>
        </is>
      </c>
      <c r="B19" t="inlineStr">
        <is>
          <t>JE-6181</t>
        </is>
      </c>
      <c r="C19" t="inlineStr">
        <is>
          <t>2026-08-01</t>
        </is>
      </c>
      <c r="D19" t="n">
        <v>1100</v>
      </c>
      <c r="E19" t="inlineStr">
        <is>
          <t>Accounts Receivable - Carriers</t>
        </is>
      </c>
      <c r="F19" t="inlineStr">
        <is>
          <t>Northfork Insurance Co.</t>
        </is>
      </c>
      <c r="G19" t="inlineStr">
        <is>
          <t>Monthly service fee - Northfork Insurance Co.</t>
        </is>
      </c>
      <c r="H19" t="inlineStr">
        <is>
          <t>AR</t>
        </is>
      </c>
      <c r="I19" t="n">
        <v>3720.33</v>
      </c>
      <c r="K19" t="inlineStr">
        <is>
          <t>AR</t>
        </is>
      </c>
      <c r="L19" t="inlineStr">
        <is>
          <t>system</t>
        </is>
      </c>
      <c r="M19" t="inlineStr"/>
    </row>
    <row r="20">
      <c r="A20" t="inlineStr">
        <is>
          <t>202608-0042</t>
        </is>
      </c>
      <c r="B20" t="inlineStr">
        <is>
          <t>JE-6181</t>
        </is>
      </c>
      <c r="C20" t="inlineStr">
        <is>
          <t>2026-08-01</t>
        </is>
      </c>
      <c r="D20" t="n">
        <v>4000</v>
      </c>
      <c r="E20" t="inlineStr">
        <is>
          <t>Service Revenue - Carriers</t>
        </is>
      </c>
      <c r="F20" t="inlineStr">
        <is>
          <t>Northfork Insurance Co.</t>
        </is>
      </c>
      <c r="G20" t="inlineStr">
        <is>
          <t>Monthly service fee - Northfork Insurance Co.</t>
        </is>
      </c>
      <c r="H20" t="inlineStr">
        <is>
          <t>AR</t>
        </is>
      </c>
      <c r="J20" t="n">
        <v>3720.33</v>
      </c>
      <c r="K20" t="inlineStr">
        <is>
          <t>AR</t>
        </is>
      </c>
      <c r="L20" t="inlineStr">
        <is>
          <t>system</t>
        </is>
      </c>
      <c r="M20" t="inlineStr"/>
    </row>
    <row r="21">
      <c r="A21" t="inlineStr">
        <is>
          <t>202608-0043</t>
        </is>
      </c>
      <c r="B21" t="inlineStr">
        <is>
          <t>JE-6182</t>
        </is>
      </c>
      <c r="C21" t="inlineStr">
        <is>
          <t>2026-08-01</t>
        </is>
      </c>
      <c r="D21" t="n">
        <v>1100</v>
      </c>
      <c r="E21" t="inlineStr">
        <is>
          <t>Accounts Receivable - Carriers</t>
        </is>
      </c>
      <c r="F21" t="inlineStr">
        <is>
          <t>Meridian Auto &amp; Home</t>
        </is>
      </c>
      <c r="G21" t="inlineStr">
        <is>
          <t>Monthly service fee - Meridian Auto &amp; Home</t>
        </is>
      </c>
      <c r="H21" t="inlineStr">
        <is>
          <t>AR</t>
        </is>
      </c>
      <c r="I21" t="n">
        <v>2887.44</v>
      </c>
      <c r="K21" t="inlineStr">
        <is>
          <t>AR</t>
        </is>
      </c>
      <c r="L21" t="inlineStr">
        <is>
          <t>system</t>
        </is>
      </c>
      <c r="M21" t="inlineStr"/>
    </row>
    <row r="22">
      <c r="A22" t="inlineStr">
        <is>
          <t>202608-0044</t>
        </is>
      </c>
      <c r="B22" t="inlineStr">
        <is>
          <t>JE-6182</t>
        </is>
      </c>
      <c r="C22" t="inlineStr">
        <is>
          <t>2026-08-01</t>
        </is>
      </c>
      <c r="D22" t="n">
        <v>4000</v>
      </c>
      <c r="E22" t="inlineStr">
        <is>
          <t>Service Revenue - Carriers</t>
        </is>
      </c>
      <c r="F22" t="inlineStr">
        <is>
          <t>Meridian Auto &amp; Home</t>
        </is>
      </c>
      <c r="G22" t="inlineStr">
        <is>
          <t>Monthly service fee - Meridian Auto &amp; Home</t>
        </is>
      </c>
      <c r="H22" t="inlineStr">
        <is>
          <t>AR</t>
        </is>
      </c>
      <c r="J22" t="n">
        <v>2887.44</v>
      </c>
      <c r="K22" t="inlineStr">
        <is>
          <t>AR</t>
        </is>
      </c>
      <c r="L22" t="inlineStr">
        <is>
          <t>system</t>
        </is>
      </c>
      <c r="M22" t="inlineStr"/>
    </row>
    <row r="23">
      <c r="A23" t="inlineStr">
        <is>
          <t>202608-0045</t>
        </is>
      </c>
      <c r="B23" t="inlineStr">
        <is>
          <t>JE-6183</t>
        </is>
      </c>
      <c r="C23" t="inlineStr">
        <is>
          <t>2026-08-01</t>
        </is>
      </c>
      <c r="D23" t="n">
        <v>1100</v>
      </c>
      <c r="E23" t="inlineStr">
        <is>
          <t>Accounts Receivable - Carriers</t>
        </is>
      </c>
      <c r="F23" t="inlineStr">
        <is>
          <t>Atlas Comp Services</t>
        </is>
      </c>
      <c r="G23" t="inlineStr">
        <is>
          <t>Monthly service fee - Atlas Comp Services</t>
        </is>
      </c>
      <c r="H23" t="inlineStr">
        <is>
          <t>AR</t>
        </is>
      </c>
      <c r="I23" t="n">
        <v>2404.21</v>
      </c>
      <c r="K23" t="inlineStr">
        <is>
          <t>AR</t>
        </is>
      </c>
      <c r="L23" t="inlineStr">
        <is>
          <t>system</t>
        </is>
      </c>
      <c r="M23" t="inlineStr"/>
    </row>
    <row r="24">
      <c r="A24" t="inlineStr">
        <is>
          <t>202608-0046</t>
        </is>
      </c>
      <c r="B24" t="inlineStr">
        <is>
          <t>JE-6183</t>
        </is>
      </c>
      <c r="C24" t="inlineStr">
        <is>
          <t>2026-08-01</t>
        </is>
      </c>
      <c r="D24" t="n">
        <v>4000</v>
      </c>
      <c r="E24" t="inlineStr">
        <is>
          <t>Service Revenue - Carriers</t>
        </is>
      </c>
      <c r="F24" t="inlineStr">
        <is>
          <t>Atlas Comp Services</t>
        </is>
      </c>
      <c r="G24" t="inlineStr">
        <is>
          <t>Monthly service fee - Atlas Comp Services</t>
        </is>
      </c>
      <c r="H24" t="inlineStr">
        <is>
          <t>AR</t>
        </is>
      </c>
      <c r="J24" t="n">
        <v>2404.21</v>
      </c>
      <c r="K24" t="inlineStr">
        <is>
          <t>AR</t>
        </is>
      </c>
      <c r="L24" t="inlineStr">
        <is>
          <t>system</t>
        </is>
      </c>
      <c r="M24" t="inlineStr"/>
    </row>
    <row r="25">
      <c r="A25" t="inlineStr">
        <is>
          <t>202608-0011</t>
        </is>
      </c>
      <c r="B25" t="inlineStr">
        <is>
          <t>JE-6167</t>
        </is>
      </c>
      <c r="C25" t="inlineStr">
        <is>
          <t>2026-08-02</t>
        </is>
      </c>
      <c r="D25" t="n">
        <v>6100</v>
      </c>
      <c r="E25" t="inlineStr">
        <is>
          <t>Office Supplies</t>
        </is>
      </c>
      <c r="F25" t="inlineStr">
        <is>
          <t>Anthropic PBC - Claude Team</t>
        </is>
      </c>
      <c r="G25" t="inlineStr">
        <is>
          <t>Anthropic PBC - Claude Team - monthly</t>
        </is>
      </c>
      <c r="H25" t="inlineStr">
        <is>
          <t>ANT-202608-247</t>
        </is>
      </c>
      <c r="I25" t="n">
        <v>1500</v>
      </c>
      <c r="K25" t="inlineStr">
        <is>
          <t>AP</t>
        </is>
      </c>
      <c r="L25" t="inlineStr">
        <is>
          <t>system</t>
        </is>
      </c>
      <c r="M25" t="inlineStr"/>
    </row>
    <row r="26">
      <c r="A26" t="inlineStr">
        <is>
          <t>202608-0012</t>
        </is>
      </c>
      <c r="B26" t="inlineStr">
        <is>
          <t>JE-6167</t>
        </is>
      </c>
      <c r="C26" t="inlineStr">
        <is>
          <t>2026-08-02</t>
        </is>
      </c>
      <c r="D26" t="n">
        <v>2000</v>
      </c>
      <c r="E26" t="inlineStr">
        <is>
          <t>Accounts Payable</t>
        </is>
      </c>
      <c r="F26" t="inlineStr">
        <is>
          <t>Anthropic PBC - Claude Team</t>
        </is>
      </c>
      <c r="G26" t="inlineStr">
        <is>
          <t>Anthropic PBC - Claude Team - monthly</t>
        </is>
      </c>
      <c r="H26" t="inlineStr">
        <is>
          <t>ANT-202608-247</t>
        </is>
      </c>
      <c r="J26" t="n">
        <v>1500</v>
      </c>
      <c r="K26" t="inlineStr">
        <is>
          <t>AP</t>
        </is>
      </c>
      <c r="L26" t="inlineStr">
        <is>
          <t>system</t>
        </is>
      </c>
      <c r="M26" t="inlineStr"/>
    </row>
    <row r="27">
      <c r="A27" t="inlineStr">
        <is>
          <t>202608-0005</t>
        </is>
      </c>
      <c r="B27" t="inlineStr">
        <is>
          <t>JE-6164</t>
        </is>
      </c>
      <c r="C27" t="inlineStr">
        <is>
          <t>2026-08-03</t>
        </is>
      </c>
      <c r="D27" t="n">
        <v>6450</v>
      </c>
      <c r="E27" t="inlineStr">
        <is>
          <t>Cloud Hosting</t>
        </is>
      </c>
      <c r="F27" t="inlineStr">
        <is>
          <t>Amazon Web Services</t>
        </is>
      </c>
      <c r="G27" t="inlineStr">
        <is>
          <t>Amazon Web Services - monthly</t>
        </is>
      </c>
      <c r="H27" t="inlineStr">
        <is>
          <t>AMA-202608-208</t>
        </is>
      </c>
      <c r="I27" t="n">
        <v>20245.61</v>
      </c>
      <c r="K27" t="inlineStr">
        <is>
          <t>AP</t>
        </is>
      </c>
      <c r="L27" t="inlineStr">
        <is>
          <t>system</t>
        </is>
      </c>
      <c r="M27" t="inlineStr"/>
    </row>
    <row r="28">
      <c r="A28" t="inlineStr">
        <is>
          <t>202608-0006</t>
        </is>
      </c>
      <c r="B28" t="inlineStr">
        <is>
          <t>JE-6164</t>
        </is>
      </c>
      <c r="C28" t="inlineStr">
        <is>
          <t>2026-08-03</t>
        </is>
      </c>
      <c r="D28" t="n">
        <v>2000</v>
      </c>
      <c r="E28" t="inlineStr">
        <is>
          <t>Accounts Payable</t>
        </is>
      </c>
      <c r="F28" t="inlineStr">
        <is>
          <t>Amazon Web Services</t>
        </is>
      </c>
      <c r="G28" t="inlineStr">
        <is>
          <t>Amazon Web Services - monthly</t>
        </is>
      </c>
      <c r="H28" t="inlineStr">
        <is>
          <t>AMA-202608-208</t>
        </is>
      </c>
      <c r="J28" t="n">
        <v>20245.61</v>
      </c>
      <c r="K28" t="inlineStr">
        <is>
          <t>AP</t>
        </is>
      </c>
      <c r="L28" t="inlineStr">
        <is>
          <t>system</t>
        </is>
      </c>
      <c r="M28" t="inlineStr"/>
    </row>
    <row r="29">
      <c r="A29" t="inlineStr">
        <is>
          <t>202608-0071</t>
        </is>
      </c>
      <c r="B29" t="inlineStr">
        <is>
          <t>JE-6196</t>
        </is>
      </c>
      <c r="C29" t="inlineStr">
        <is>
          <t>2026-08-03</t>
        </is>
      </c>
      <c r="D29" t="n">
        <v>6420</v>
      </c>
      <c r="E29" t="inlineStr">
        <is>
          <t>Software Subscriptions</t>
        </is>
      </c>
      <c r="F29" t="inlineStr">
        <is>
          <t>Adobe Inc.</t>
        </is>
      </c>
      <c r="G29" t="inlineStr">
        <is>
          <t>Adobe Inc. - corporate card</t>
        </is>
      </c>
      <c r="H29" t="inlineStr">
        <is>
          <t>CC-30324</t>
        </is>
      </c>
      <c r="I29" t="n">
        <v>55</v>
      </c>
      <c r="K29" t="inlineStr">
        <is>
          <t>Card feed</t>
        </is>
      </c>
      <c r="L29" t="inlineStr">
        <is>
          <t>system</t>
        </is>
      </c>
      <c r="M29" t="inlineStr"/>
    </row>
    <row r="30">
      <c r="A30" t="inlineStr">
        <is>
          <t>202608-0072</t>
        </is>
      </c>
      <c r="B30" t="inlineStr">
        <is>
          <t>JE-6196</t>
        </is>
      </c>
      <c r="C30" t="inlineStr">
        <is>
          <t>2026-08-03</t>
        </is>
      </c>
      <c r="D30" t="n">
        <v>2000</v>
      </c>
      <c r="E30" t="inlineStr">
        <is>
          <t>Accounts Payable</t>
        </is>
      </c>
      <c r="F30" t="inlineStr">
        <is>
          <t>Adobe Inc.</t>
        </is>
      </c>
      <c r="G30" t="inlineStr">
        <is>
          <t>Adobe Inc. - corporate card</t>
        </is>
      </c>
      <c r="H30" t="inlineStr">
        <is>
          <t>CC-30324</t>
        </is>
      </c>
      <c r="J30" t="n">
        <v>55</v>
      </c>
      <c r="K30" t="inlineStr">
        <is>
          <t>Card feed</t>
        </is>
      </c>
      <c r="L30" t="inlineStr">
        <is>
          <t>system</t>
        </is>
      </c>
      <c r="M30" t="inlineStr"/>
    </row>
    <row r="31">
      <c r="A31" t="inlineStr">
        <is>
          <t>202608-0081</t>
        </is>
      </c>
      <c r="B31" t="inlineStr">
        <is>
          <t>JE-6201</t>
        </is>
      </c>
      <c r="C31" t="inlineStr">
        <is>
          <t>2026-08-03</t>
        </is>
      </c>
      <c r="D31" t="n">
        <v>6900</v>
      </c>
      <c r="E31" t="inlineStr">
        <is>
          <t>Travel &amp; Meals</t>
        </is>
      </c>
      <c r="F31" t="inlineStr">
        <is>
          <t>Hilton Garden Inn</t>
        </is>
      </c>
      <c r="G31" t="inlineStr">
        <is>
          <t>Hilton Garden Inn - corporate card</t>
        </is>
      </c>
      <c r="H31" t="inlineStr">
        <is>
          <t>CC-53656</t>
        </is>
      </c>
      <c r="I31" t="n">
        <v>278.63</v>
      </c>
      <c r="K31" t="inlineStr">
        <is>
          <t>Card feed</t>
        </is>
      </c>
      <c r="L31" t="inlineStr">
        <is>
          <t>system</t>
        </is>
      </c>
      <c r="M31" t="inlineStr"/>
    </row>
    <row r="32">
      <c r="A32" t="inlineStr">
        <is>
          <t>202608-0082</t>
        </is>
      </c>
      <c r="B32" t="inlineStr">
        <is>
          <t>JE-6201</t>
        </is>
      </c>
      <c r="C32" t="inlineStr">
        <is>
          <t>2026-08-03</t>
        </is>
      </c>
      <c r="D32" t="n">
        <v>2000</v>
      </c>
      <c r="E32" t="inlineStr">
        <is>
          <t>Accounts Payable</t>
        </is>
      </c>
      <c r="F32" t="inlineStr">
        <is>
          <t>Hilton Garden Inn</t>
        </is>
      </c>
      <c r="G32" t="inlineStr">
        <is>
          <t>Hilton Garden Inn - corporate card</t>
        </is>
      </c>
      <c r="H32" t="inlineStr">
        <is>
          <t>CC-53656</t>
        </is>
      </c>
      <c r="J32" t="n">
        <v>278.63</v>
      </c>
      <c r="K32" t="inlineStr">
        <is>
          <t>Card feed</t>
        </is>
      </c>
      <c r="L32" t="inlineStr">
        <is>
          <t>system</t>
        </is>
      </c>
      <c r="M32" t="inlineStr"/>
    </row>
    <row r="33">
      <c r="A33" t="inlineStr">
        <is>
          <t>202608-0119</t>
        </is>
      </c>
      <c r="B33" t="inlineStr">
        <is>
          <t>JE-6220</t>
        </is>
      </c>
      <c r="C33" t="inlineStr">
        <is>
          <t>2026-08-03</t>
        </is>
      </c>
      <c r="D33" t="n">
        <v>6900</v>
      </c>
      <c r="E33" t="inlineStr">
        <is>
          <t>Travel &amp; Meals</t>
        </is>
      </c>
      <c r="F33" t="inlineStr">
        <is>
          <t>Delta Air Lines</t>
        </is>
      </c>
      <c r="G33" t="inlineStr">
        <is>
          <t>Delta Air Lines - corporate card</t>
        </is>
      </c>
      <c r="H33" t="inlineStr">
        <is>
          <t>CC-17710</t>
        </is>
      </c>
      <c r="I33" t="n">
        <v>437.35</v>
      </c>
      <c r="K33" t="inlineStr">
        <is>
          <t>Card feed</t>
        </is>
      </c>
      <c r="L33" t="inlineStr">
        <is>
          <t>system</t>
        </is>
      </c>
      <c r="M33" t="inlineStr"/>
    </row>
    <row r="34">
      <c r="A34" t="inlineStr">
        <is>
          <t>202608-0120</t>
        </is>
      </c>
      <c r="B34" t="inlineStr">
        <is>
          <t>JE-6220</t>
        </is>
      </c>
      <c r="C34" t="inlineStr">
        <is>
          <t>2026-08-03</t>
        </is>
      </c>
      <c r="D34" t="n">
        <v>2000</v>
      </c>
      <c r="E34" t="inlineStr">
        <is>
          <t>Accounts Payable</t>
        </is>
      </c>
      <c r="F34" t="inlineStr">
        <is>
          <t>Delta Air Lines</t>
        </is>
      </c>
      <c r="G34" t="inlineStr">
        <is>
          <t>Delta Air Lines - corporate card</t>
        </is>
      </c>
      <c r="H34" t="inlineStr">
        <is>
          <t>CC-17710</t>
        </is>
      </c>
      <c r="J34" t="n">
        <v>437.35</v>
      </c>
      <c r="K34" t="inlineStr">
        <is>
          <t>Card feed</t>
        </is>
      </c>
      <c r="L34" t="inlineStr">
        <is>
          <t>system</t>
        </is>
      </c>
      <c r="M34" t="inlineStr"/>
    </row>
    <row r="35">
      <c r="A35" t="inlineStr">
        <is>
          <t>202608-0131</t>
        </is>
      </c>
      <c r="B35" t="inlineStr">
        <is>
          <t>JE-6226</t>
        </is>
      </c>
      <c r="C35" t="inlineStr">
        <is>
          <t>2026-08-03</t>
        </is>
      </c>
      <c r="D35" t="n">
        <v>6420</v>
      </c>
      <c r="E35" t="inlineStr">
        <is>
          <t>Software Subscriptions</t>
        </is>
      </c>
      <c r="F35" t="inlineStr">
        <is>
          <t>Zoom Video</t>
        </is>
      </c>
      <c r="G35" t="inlineStr">
        <is>
          <t>Zoom Video - corporate card</t>
        </is>
      </c>
      <c r="H35" t="inlineStr">
        <is>
          <t>CC-42613</t>
        </is>
      </c>
      <c r="I35" t="n">
        <v>87.31999999999999</v>
      </c>
      <c r="K35" t="inlineStr">
        <is>
          <t>Card feed</t>
        </is>
      </c>
      <c r="L35" t="inlineStr">
        <is>
          <t>system</t>
        </is>
      </c>
      <c r="M35" t="inlineStr"/>
    </row>
    <row r="36">
      <c r="A36" t="inlineStr">
        <is>
          <t>202608-0132</t>
        </is>
      </c>
      <c r="B36" t="inlineStr">
        <is>
          <t>JE-6226</t>
        </is>
      </c>
      <c r="C36" t="inlineStr">
        <is>
          <t>2026-08-03</t>
        </is>
      </c>
      <c r="D36" t="n">
        <v>2000</v>
      </c>
      <c r="E36" t="inlineStr">
        <is>
          <t>Accounts Payable</t>
        </is>
      </c>
      <c r="F36" t="inlineStr">
        <is>
          <t>Zoom Video</t>
        </is>
      </c>
      <c r="G36" t="inlineStr">
        <is>
          <t>Zoom Video - corporate card</t>
        </is>
      </c>
      <c r="H36" t="inlineStr">
        <is>
          <t>CC-42613</t>
        </is>
      </c>
      <c r="J36" t="n">
        <v>87.31999999999999</v>
      </c>
      <c r="K36" t="inlineStr">
        <is>
          <t>Card feed</t>
        </is>
      </c>
      <c r="L36" t="inlineStr">
        <is>
          <t>system</t>
        </is>
      </c>
      <c r="M36" t="inlineStr"/>
    </row>
    <row r="37">
      <c r="A37" t="inlineStr">
        <is>
          <t>202608-0065</t>
        </is>
      </c>
      <c r="B37" t="inlineStr">
        <is>
          <t>JE-6193</t>
        </is>
      </c>
      <c r="C37" t="inlineStr">
        <is>
          <t>2026-08-04</t>
        </is>
      </c>
      <c r="D37" t="n">
        <v>6100</v>
      </c>
      <c r="E37" t="inlineStr">
        <is>
          <t>Office Supplies</t>
        </is>
      </c>
      <c r="F37" t="inlineStr">
        <is>
          <t>Staples Business</t>
        </is>
      </c>
      <c r="G37" t="inlineStr">
        <is>
          <t>Staples Business - corporate card</t>
        </is>
      </c>
      <c r="H37" t="inlineStr">
        <is>
          <t>CC-81800</t>
        </is>
      </c>
      <c r="I37" t="n">
        <v>169.27</v>
      </c>
      <c r="K37" t="inlineStr">
        <is>
          <t>Card feed</t>
        </is>
      </c>
      <c r="L37" t="inlineStr">
        <is>
          <t>system</t>
        </is>
      </c>
      <c r="M37" t="inlineStr"/>
    </row>
    <row r="38">
      <c r="A38" t="inlineStr">
        <is>
          <t>202608-0066</t>
        </is>
      </c>
      <c r="B38" t="inlineStr">
        <is>
          <t>JE-6193</t>
        </is>
      </c>
      <c r="C38" t="inlineStr">
        <is>
          <t>2026-08-04</t>
        </is>
      </c>
      <c r="D38" t="n">
        <v>2000</v>
      </c>
      <c r="E38" t="inlineStr">
        <is>
          <t>Accounts Payable</t>
        </is>
      </c>
      <c r="F38" t="inlineStr">
        <is>
          <t>Staples Business</t>
        </is>
      </c>
      <c r="G38" t="inlineStr">
        <is>
          <t>Staples Business - corporate card</t>
        </is>
      </c>
      <c r="H38" t="inlineStr">
        <is>
          <t>CC-81800</t>
        </is>
      </c>
      <c r="J38" t="n">
        <v>169.27</v>
      </c>
      <c r="K38" t="inlineStr">
        <is>
          <t>Card feed</t>
        </is>
      </c>
      <c r="L38" t="inlineStr">
        <is>
          <t>system</t>
        </is>
      </c>
      <c r="M38" t="inlineStr"/>
    </row>
    <row r="39">
      <c r="A39" t="inlineStr">
        <is>
          <t>202608-0103</t>
        </is>
      </c>
      <c r="B39" t="inlineStr">
        <is>
          <t>JE-6212</t>
        </is>
      </c>
      <c r="C39" t="inlineStr">
        <is>
          <t>2026-08-04</t>
        </is>
      </c>
      <c r="D39" t="n">
        <v>6100</v>
      </c>
      <c r="E39" t="inlineStr">
        <is>
          <t>Office Supplies</t>
        </is>
      </c>
      <c r="F39" t="inlineStr">
        <is>
          <t>Staples Business</t>
        </is>
      </c>
      <c r="G39" t="inlineStr">
        <is>
          <t>Staples Business - corporate card</t>
        </is>
      </c>
      <c r="H39" t="inlineStr">
        <is>
          <t>CC-63379</t>
        </is>
      </c>
      <c r="I39" t="n">
        <v>316.79</v>
      </c>
      <c r="K39" t="inlineStr">
        <is>
          <t>Card feed</t>
        </is>
      </c>
      <c r="L39" t="inlineStr">
        <is>
          <t>system</t>
        </is>
      </c>
      <c r="M39" t="inlineStr"/>
    </row>
    <row r="40">
      <c r="A40" t="inlineStr">
        <is>
          <t>202608-0104</t>
        </is>
      </c>
      <c r="B40" t="inlineStr">
        <is>
          <t>JE-6212</t>
        </is>
      </c>
      <c r="C40" t="inlineStr">
        <is>
          <t>2026-08-04</t>
        </is>
      </c>
      <c r="D40" t="n">
        <v>2000</v>
      </c>
      <c r="E40" t="inlineStr">
        <is>
          <t>Accounts Payable</t>
        </is>
      </c>
      <c r="F40" t="inlineStr">
        <is>
          <t>Staples Business</t>
        </is>
      </c>
      <c r="G40" t="inlineStr">
        <is>
          <t>Staples Business - corporate card</t>
        </is>
      </c>
      <c r="H40" t="inlineStr">
        <is>
          <t>CC-63379</t>
        </is>
      </c>
      <c r="J40" t="n">
        <v>316.79</v>
      </c>
      <c r="K40" t="inlineStr">
        <is>
          <t>Card feed</t>
        </is>
      </c>
      <c r="L40" t="inlineStr">
        <is>
          <t>system</t>
        </is>
      </c>
      <c r="M40" t="inlineStr"/>
    </row>
    <row r="41">
      <c r="A41" t="inlineStr">
        <is>
          <t>202608-0125</t>
        </is>
      </c>
      <c r="B41" t="inlineStr">
        <is>
          <t>JE-6223</t>
        </is>
      </c>
      <c r="C41" t="inlineStr">
        <is>
          <t>2026-08-04</t>
        </is>
      </c>
      <c r="D41" t="n">
        <v>6100</v>
      </c>
      <c r="E41" t="inlineStr">
        <is>
          <t>Office Supplies</t>
        </is>
      </c>
      <c r="F41" t="inlineStr">
        <is>
          <t>FedEx</t>
        </is>
      </c>
      <c r="G41" t="inlineStr">
        <is>
          <t>FedEx - corporate card</t>
        </is>
      </c>
      <c r="H41" t="inlineStr">
        <is>
          <t>CC-42697</t>
        </is>
      </c>
      <c r="I41" t="n">
        <v>46.89</v>
      </c>
      <c r="K41" t="inlineStr">
        <is>
          <t>Card feed</t>
        </is>
      </c>
      <c r="L41" t="inlineStr">
        <is>
          <t>system</t>
        </is>
      </c>
      <c r="M41" t="inlineStr"/>
    </row>
    <row r="42">
      <c r="A42" t="inlineStr">
        <is>
          <t>202608-0126</t>
        </is>
      </c>
      <c r="B42" t="inlineStr">
        <is>
          <t>JE-6223</t>
        </is>
      </c>
      <c r="C42" t="inlineStr">
        <is>
          <t>2026-08-04</t>
        </is>
      </c>
      <c r="D42" t="n">
        <v>2000</v>
      </c>
      <c r="E42" t="inlineStr">
        <is>
          <t>Accounts Payable</t>
        </is>
      </c>
      <c r="F42" t="inlineStr">
        <is>
          <t>FedEx</t>
        </is>
      </c>
      <c r="G42" t="inlineStr">
        <is>
          <t>FedEx - corporate card</t>
        </is>
      </c>
      <c r="H42" t="inlineStr">
        <is>
          <t>CC-42697</t>
        </is>
      </c>
      <c r="J42" t="n">
        <v>46.89</v>
      </c>
      <c r="K42" t="inlineStr">
        <is>
          <t>Card feed</t>
        </is>
      </c>
      <c r="L42" t="inlineStr">
        <is>
          <t>system</t>
        </is>
      </c>
      <c r="M42" t="inlineStr"/>
    </row>
    <row r="43">
      <c r="A43" t="inlineStr">
        <is>
          <t>202608-0001</t>
        </is>
      </c>
      <c r="B43" t="inlineStr">
        <is>
          <t>JE-6162</t>
        </is>
      </c>
      <c r="C43" t="inlineStr">
        <is>
          <t>2026-08-05</t>
        </is>
      </c>
      <c r="D43" t="n">
        <v>6500</v>
      </c>
      <c r="E43" t="inlineStr">
        <is>
          <t>Records Storage &amp; Destruction</t>
        </is>
      </c>
      <c r="F43" t="inlineStr">
        <is>
          <t>Iron Mountain Records Mgmt</t>
        </is>
      </c>
      <c r="G43" t="inlineStr">
        <is>
          <t>Iron Mountain Records Mgmt - monthly</t>
        </is>
      </c>
      <c r="H43" t="inlineStr">
        <is>
          <t>IRO-202608-855</t>
        </is>
      </c>
      <c r="I43" t="n">
        <v>1842.5</v>
      </c>
      <c r="K43" t="inlineStr">
        <is>
          <t>AP</t>
        </is>
      </c>
      <c r="L43" t="inlineStr">
        <is>
          <t>system</t>
        </is>
      </c>
      <c r="M43" t="inlineStr"/>
    </row>
    <row r="44">
      <c r="A44" t="inlineStr">
        <is>
          <t>202608-0002</t>
        </is>
      </c>
      <c r="B44" t="inlineStr">
        <is>
          <t>JE-6162</t>
        </is>
      </c>
      <c r="C44" t="inlineStr">
        <is>
          <t>2026-08-05</t>
        </is>
      </c>
      <c r="D44" t="n">
        <v>2000</v>
      </c>
      <c r="E44" t="inlineStr">
        <is>
          <t>Accounts Payable</t>
        </is>
      </c>
      <c r="F44" t="inlineStr">
        <is>
          <t>Iron Mountain Records Mgmt</t>
        </is>
      </c>
      <c r="G44" t="inlineStr">
        <is>
          <t>Iron Mountain Records Mgmt - monthly</t>
        </is>
      </c>
      <c r="H44" t="inlineStr">
        <is>
          <t>IRO-202608-855</t>
        </is>
      </c>
      <c r="J44" t="n">
        <v>1842.5</v>
      </c>
      <c r="K44" t="inlineStr">
        <is>
          <t>AP</t>
        </is>
      </c>
      <c r="L44" t="inlineStr">
        <is>
          <t>system</t>
        </is>
      </c>
      <c r="M44" t="inlineStr"/>
    </row>
    <row r="45">
      <c r="A45" t="inlineStr">
        <is>
          <t>202608-0079</t>
        </is>
      </c>
      <c r="B45" t="inlineStr">
        <is>
          <t>JE-6200</t>
        </is>
      </c>
      <c r="C45" t="inlineStr">
        <is>
          <t>2026-08-05</t>
        </is>
      </c>
      <c r="D45" t="n">
        <v>6100</v>
      </c>
      <c r="E45" t="inlineStr">
        <is>
          <t>Office Supplies</t>
        </is>
      </c>
      <c r="F45" t="inlineStr">
        <is>
          <t>FedEx</t>
        </is>
      </c>
      <c r="G45" t="inlineStr">
        <is>
          <t>FedEx - corporate card</t>
        </is>
      </c>
      <c r="H45" t="inlineStr">
        <is>
          <t>CC-39339</t>
        </is>
      </c>
      <c r="I45" t="n">
        <v>122.13</v>
      </c>
      <c r="K45" t="inlineStr">
        <is>
          <t>Card feed</t>
        </is>
      </c>
      <c r="L45" t="inlineStr">
        <is>
          <t>system</t>
        </is>
      </c>
      <c r="M45" t="inlineStr"/>
    </row>
    <row r="46">
      <c r="A46" t="inlineStr">
        <is>
          <t>202608-0080</t>
        </is>
      </c>
      <c r="B46" t="inlineStr">
        <is>
          <t>JE-6200</t>
        </is>
      </c>
      <c r="C46" t="inlineStr">
        <is>
          <t>2026-08-05</t>
        </is>
      </c>
      <c r="D46" t="n">
        <v>2000</v>
      </c>
      <c r="E46" t="inlineStr">
        <is>
          <t>Accounts Payable</t>
        </is>
      </c>
      <c r="F46" t="inlineStr">
        <is>
          <t>FedEx</t>
        </is>
      </c>
      <c r="G46" t="inlineStr">
        <is>
          <t>FedEx - corporate card</t>
        </is>
      </c>
      <c r="H46" t="inlineStr">
        <is>
          <t>CC-39339</t>
        </is>
      </c>
      <c r="J46" t="n">
        <v>122.13</v>
      </c>
      <c r="K46" t="inlineStr">
        <is>
          <t>Card feed</t>
        </is>
      </c>
      <c r="L46" t="inlineStr">
        <is>
          <t>system</t>
        </is>
      </c>
      <c r="M46" t="inlineStr"/>
    </row>
    <row r="47">
      <c r="A47" t="inlineStr">
        <is>
          <t>202608-0139</t>
        </is>
      </c>
      <c r="B47" t="inlineStr">
        <is>
          <t>JE-6230</t>
        </is>
      </c>
      <c r="C47" t="inlineStr">
        <is>
          <t>2026-08-05</t>
        </is>
      </c>
      <c r="D47" t="n">
        <v>6100</v>
      </c>
      <c r="E47" t="inlineStr">
        <is>
          <t>Office Supplies</t>
        </is>
      </c>
      <c r="F47" t="inlineStr">
        <is>
          <t>Uline</t>
        </is>
      </c>
      <c r="G47" t="inlineStr">
        <is>
          <t>Uline - corporate card</t>
        </is>
      </c>
      <c r="H47" t="inlineStr">
        <is>
          <t>CC-87734</t>
        </is>
      </c>
      <c r="I47" t="n">
        <v>140.98</v>
      </c>
      <c r="K47" t="inlineStr">
        <is>
          <t>Card feed</t>
        </is>
      </c>
      <c r="L47" t="inlineStr">
        <is>
          <t>system</t>
        </is>
      </c>
      <c r="M47" t="inlineStr"/>
    </row>
    <row r="48">
      <c r="A48" t="inlineStr">
        <is>
          <t>202608-0140</t>
        </is>
      </c>
      <c r="B48" t="inlineStr">
        <is>
          <t>JE-6230</t>
        </is>
      </c>
      <c r="C48" t="inlineStr">
        <is>
          <t>2026-08-05</t>
        </is>
      </c>
      <c r="D48" t="n">
        <v>2000</v>
      </c>
      <c r="E48" t="inlineStr">
        <is>
          <t>Accounts Payable</t>
        </is>
      </c>
      <c r="F48" t="inlineStr">
        <is>
          <t>Uline</t>
        </is>
      </c>
      <c r="G48" t="inlineStr">
        <is>
          <t>Uline - corporate card</t>
        </is>
      </c>
      <c r="H48" t="inlineStr">
        <is>
          <t>CC-87734</t>
        </is>
      </c>
      <c r="J48" t="n">
        <v>140.98</v>
      </c>
      <c r="K48" t="inlineStr">
        <is>
          <t>Card feed</t>
        </is>
      </c>
      <c r="L48" t="inlineStr">
        <is>
          <t>system</t>
        </is>
      </c>
      <c r="M48" t="inlineStr"/>
    </row>
    <row r="49">
      <c r="A49" t="inlineStr">
        <is>
          <t>202608-0053</t>
        </is>
      </c>
      <c r="B49" t="inlineStr">
        <is>
          <t>JE-6187</t>
        </is>
      </c>
      <c r="C49" t="inlineStr">
        <is>
          <t>2026-08-06</t>
        </is>
      </c>
      <c r="D49" t="n">
        <v>6900</v>
      </c>
      <c r="E49" t="inlineStr">
        <is>
          <t>Travel &amp; Meals</t>
        </is>
      </c>
      <c r="F49" t="inlineStr">
        <is>
          <t>Delta Air Lines</t>
        </is>
      </c>
      <c r="G49" t="inlineStr">
        <is>
          <t>Delta Air Lines - corporate card</t>
        </is>
      </c>
      <c r="H49" t="inlineStr">
        <is>
          <t>CC-54407</t>
        </is>
      </c>
      <c r="I49" t="n">
        <v>452.12</v>
      </c>
      <c r="K49" t="inlineStr">
        <is>
          <t>Card feed</t>
        </is>
      </c>
      <c r="L49" t="inlineStr">
        <is>
          <t>system</t>
        </is>
      </c>
      <c r="M49" t="inlineStr"/>
    </row>
    <row r="50">
      <c r="A50" t="inlineStr">
        <is>
          <t>202608-0054</t>
        </is>
      </c>
      <c r="B50" t="inlineStr">
        <is>
          <t>JE-6187</t>
        </is>
      </c>
      <c r="C50" t="inlineStr">
        <is>
          <t>2026-08-06</t>
        </is>
      </c>
      <c r="D50" t="n">
        <v>2000</v>
      </c>
      <c r="E50" t="inlineStr">
        <is>
          <t>Accounts Payable</t>
        </is>
      </c>
      <c r="F50" t="inlineStr">
        <is>
          <t>Delta Air Lines</t>
        </is>
      </c>
      <c r="G50" t="inlineStr">
        <is>
          <t>Delta Air Lines - corporate card</t>
        </is>
      </c>
      <c r="H50" t="inlineStr">
        <is>
          <t>CC-54407</t>
        </is>
      </c>
      <c r="J50" t="n">
        <v>452.12</v>
      </c>
      <c r="K50" t="inlineStr">
        <is>
          <t>Card feed</t>
        </is>
      </c>
      <c r="L50" t="inlineStr">
        <is>
          <t>system</t>
        </is>
      </c>
      <c r="M50" t="inlineStr"/>
    </row>
    <row r="51">
      <c r="A51" t="inlineStr">
        <is>
          <t>202608-0003</t>
        </is>
      </c>
      <c r="B51" t="inlineStr">
        <is>
          <t>JE-6163</t>
        </is>
      </c>
      <c r="C51" t="inlineStr">
        <is>
          <t>2026-08-07</t>
        </is>
      </c>
      <c r="D51" t="n">
        <v>6500</v>
      </c>
      <c r="E51" t="inlineStr">
        <is>
          <t>Records Storage &amp; Destruction</t>
        </is>
      </c>
      <c r="F51" t="inlineStr">
        <is>
          <t>Iron Mountain Records Mgmt</t>
        </is>
      </c>
      <c r="G51" t="inlineStr">
        <is>
          <t>Iron Mountain Records Mgmt - monthly</t>
        </is>
      </c>
      <c r="H51" t="inlineStr">
        <is>
          <t>IRO-202608-855</t>
        </is>
      </c>
      <c r="I51" t="n">
        <v>1842.5</v>
      </c>
      <c r="K51" t="inlineStr">
        <is>
          <t>AP</t>
        </is>
      </c>
      <c r="L51" t="inlineStr">
        <is>
          <t>system</t>
        </is>
      </c>
      <c r="M51" t="inlineStr"/>
    </row>
    <row r="52">
      <c r="A52" t="inlineStr">
        <is>
          <t>202608-0004</t>
        </is>
      </c>
      <c r="B52" t="inlineStr">
        <is>
          <t>JE-6163</t>
        </is>
      </c>
      <c r="C52" t="inlineStr">
        <is>
          <t>2026-08-07</t>
        </is>
      </c>
      <c r="D52" t="n">
        <v>2000</v>
      </c>
      <c r="E52" t="inlineStr">
        <is>
          <t>Accounts Payable</t>
        </is>
      </c>
      <c r="F52" t="inlineStr">
        <is>
          <t>Iron Mountain Records Mgmt</t>
        </is>
      </c>
      <c r="G52" t="inlineStr">
        <is>
          <t>Iron Mountain Records Mgmt - monthly</t>
        </is>
      </c>
      <c r="H52" t="inlineStr">
        <is>
          <t>IRO-202608-855</t>
        </is>
      </c>
      <c r="J52" t="n">
        <v>1842.5</v>
      </c>
      <c r="K52" t="inlineStr">
        <is>
          <t>AP</t>
        </is>
      </c>
      <c r="L52" t="inlineStr">
        <is>
          <t>system</t>
        </is>
      </c>
      <c r="M52" t="inlineStr"/>
    </row>
    <row r="53">
      <c r="A53" t="inlineStr">
        <is>
          <t>202608-0153</t>
        </is>
      </c>
      <c r="B53" t="inlineStr">
        <is>
          <t>JE-6237</t>
        </is>
      </c>
      <c r="C53" t="inlineStr">
        <is>
          <t>2026-08-07</t>
        </is>
      </c>
      <c r="D53" t="n">
        <v>6100</v>
      </c>
      <c r="E53" t="inlineStr">
        <is>
          <t>Office Supplies</t>
        </is>
      </c>
      <c r="F53" t="inlineStr">
        <is>
          <t>Staples Business</t>
        </is>
      </c>
      <c r="G53" t="inlineStr">
        <is>
          <t>Staples Business - corporate card</t>
        </is>
      </c>
      <c r="H53" t="inlineStr">
        <is>
          <t>CC-23203</t>
        </is>
      </c>
      <c r="I53" t="n">
        <v>278.41</v>
      </c>
      <c r="K53" t="inlineStr">
        <is>
          <t>Card feed</t>
        </is>
      </c>
      <c r="L53" t="inlineStr">
        <is>
          <t>system</t>
        </is>
      </c>
      <c r="M53" t="inlineStr"/>
    </row>
    <row r="54">
      <c r="A54" t="inlineStr">
        <is>
          <t>202608-0154</t>
        </is>
      </c>
      <c r="B54" t="inlineStr">
        <is>
          <t>JE-6237</t>
        </is>
      </c>
      <c r="C54" t="inlineStr">
        <is>
          <t>2026-08-07</t>
        </is>
      </c>
      <c r="D54" t="n">
        <v>2000</v>
      </c>
      <c r="E54" t="inlineStr">
        <is>
          <t>Accounts Payable</t>
        </is>
      </c>
      <c r="F54" t="inlineStr">
        <is>
          <t>Staples Business</t>
        </is>
      </c>
      <c r="G54" t="inlineStr">
        <is>
          <t>Staples Business - corporate card</t>
        </is>
      </c>
      <c r="H54" t="inlineStr">
        <is>
          <t>CC-23203</t>
        </is>
      </c>
      <c r="J54" t="n">
        <v>278.41</v>
      </c>
      <c r="K54" t="inlineStr">
        <is>
          <t>Card feed</t>
        </is>
      </c>
      <c r="L54" t="inlineStr">
        <is>
          <t>system</t>
        </is>
      </c>
      <c r="M54" t="inlineStr"/>
    </row>
    <row r="55">
      <c r="A55" t="inlineStr">
        <is>
          <t>202608-0019</t>
        </is>
      </c>
      <c r="B55" t="inlineStr">
        <is>
          <t>JE-6171</t>
        </is>
      </c>
      <c r="C55" t="inlineStr">
        <is>
          <t>2026-08-08</t>
        </is>
      </c>
      <c r="D55" t="n">
        <v>6420</v>
      </c>
      <c r="E55" t="inlineStr">
        <is>
          <t>Software Subscriptions</t>
        </is>
      </c>
      <c r="F55" t="inlineStr">
        <is>
          <t>Foxit Software</t>
        </is>
      </c>
      <c r="G55" t="inlineStr">
        <is>
          <t>Foxit Software - monthly</t>
        </is>
      </c>
      <c r="H55" t="inlineStr">
        <is>
          <t>FOX-202608-410</t>
        </is>
      </c>
      <c r="I55" t="n">
        <v>312</v>
      </c>
      <c r="K55" t="inlineStr">
        <is>
          <t>AP</t>
        </is>
      </c>
      <c r="L55" t="inlineStr">
        <is>
          <t>system</t>
        </is>
      </c>
      <c r="M55" t="inlineStr"/>
    </row>
    <row r="56">
      <c r="A56" t="inlineStr">
        <is>
          <t>202608-0020</t>
        </is>
      </c>
      <c r="B56" t="inlineStr">
        <is>
          <t>JE-6171</t>
        </is>
      </c>
      <c r="C56" t="inlineStr">
        <is>
          <t>2026-08-08</t>
        </is>
      </c>
      <c r="D56" t="n">
        <v>2000</v>
      </c>
      <c r="E56" t="inlineStr">
        <is>
          <t>Accounts Payable</t>
        </is>
      </c>
      <c r="F56" t="inlineStr">
        <is>
          <t>Foxit Software</t>
        </is>
      </c>
      <c r="G56" t="inlineStr">
        <is>
          <t>Foxit Software - monthly</t>
        </is>
      </c>
      <c r="H56" t="inlineStr">
        <is>
          <t>FOX-202608-410</t>
        </is>
      </c>
      <c r="J56" t="n">
        <v>312</v>
      </c>
      <c r="K56" t="inlineStr">
        <is>
          <t>AP</t>
        </is>
      </c>
      <c r="L56" t="inlineStr">
        <is>
          <t>system</t>
        </is>
      </c>
      <c r="M56" t="inlineStr"/>
    </row>
    <row r="57">
      <c r="A57" t="inlineStr">
        <is>
          <t>202608-0059</t>
        </is>
      </c>
      <c r="B57" t="inlineStr">
        <is>
          <t>JE-6190</t>
        </is>
      </c>
      <c r="C57" t="inlineStr">
        <is>
          <t>2026-08-10</t>
        </is>
      </c>
      <c r="D57" t="n">
        <v>6100</v>
      </c>
      <c r="E57" t="inlineStr">
        <is>
          <t>Office Supplies</t>
        </is>
      </c>
      <c r="F57" t="inlineStr">
        <is>
          <t>Uline</t>
        </is>
      </c>
      <c r="G57" t="inlineStr">
        <is>
          <t>Uline - corporate card</t>
        </is>
      </c>
      <c r="H57" t="inlineStr">
        <is>
          <t>CC-60965</t>
        </is>
      </c>
      <c r="I57" t="n">
        <v>241.42</v>
      </c>
      <c r="K57" t="inlineStr">
        <is>
          <t>Card feed</t>
        </is>
      </c>
      <c r="L57" t="inlineStr">
        <is>
          <t>system</t>
        </is>
      </c>
      <c r="M57" t="inlineStr"/>
    </row>
    <row r="58">
      <c r="A58" t="inlineStr">
        <is>
          <t>202608-0060</t>
        </is>
      </c>
      <c r="B58" t="inlineStr">
        <is>
          <t>JE-6190</t>
        </is>
      </c>
      <c r="C58" t="inlineStr">
        <is>
          <t>2026-08-10</t>
        </is>
      </c>
      <c r="D58" t="n">
        <v>2000</v>
      </c>
      <c r="E58" t="inlineStr">
        <is>
          <t>Accounts Payable</t>
        </is>
      </c>
      <c r="F58" t="inlineStr">
        <is>
          <t>Uline</t>
        </is>
      </c>
      <c r="G58" t="inlineStr">
        <is>
          <t>Uline - corporate card</t>
        </is>
      </c>
      <c r="H58" t="inlineStr">
        <is>
          <t>CC-60965</t>
        </is>
      </c>
      <c r="J58" t="n">
        <v>241.42</v>
      </c>
      <c r="K58" t="inlineStr">
        <is>
          <t>Card feed</t>
        </is>
      </c>
      <c r="L58" t="inlineStr">
        <is>
          <t>system</t>
        </is>
      </c>
      <c r="M58" t="inlineStr"/>
    </row>
    <row r="59">
      <c r="A59" t="inlineStr">
        <is>
          <t>202608-0063</t>
        </is>
      </c>
      <c r="B59" t="inlineStr">
        <is>
          <t>JE-6192</t>
        </is>
      </c>
      <c r="C59" t="inlineStr">
        <is>
          <t>2026-08-10</t>
        </is>
      </c>
      <c r="D59" t="n">
        <v>6900</v>
      </c>
      <c r="E59" t="inlineStr">
        <is>
          <t>Travel &amp; Meals</t>
        </is>
      </c>
      <c r="F59" t="inlineStr">
        <is>
          <t>Hilton Garden Inn</t>
        </is>
      </c>
      <c r="G59" t="inlineStr">
        <is>
          <t>Hilton Garden Inn - corporate card</t>
        </is>
      </c>
      <c r="H59" t="inlineStr">
        <is>
          <t>CC-98431</t>
        </is>
      </c>
      <c r="I59" t="n">
        <v>245.55</v>
      </c>
      <c r="K59" t="inlineStr">
        <is>
          <t>Card feed</t>
        </is>
      </c>
      <c r="L59" t="inlineStr">
        <is>
          <t>system</t>
        </is>
      </c>
      <c r="M59" t="inlineStr"/>
    </row>
    <row r="60">
      <c r="A60" t="inlineStr">
        <is>
          <t>202608-0064</t>
        </is>
      </c>
      <c r="B60" t="inlineStr">
        <is>
          <t>JE-6192</t>
        </is>
      </c>
      <c r="C60" t="inlineStr">
        <is>
          <t>2026-08-10</t>
        </is>
      </c>
      <c r="D60" t="n">
        <v>2000</v>
      </c>
      <c r="E60" t="inlineStr">
        <is>
          <t>Accounts Payable</t>
        </is>
      </c>
      <c r="F60" t="inlineStr">
        <is>
          <t>Hilton Garden Inn</t>
        </is>
      </c>
      <c r="G60" t="inlineStr">
        <is>
          <t>Hilton Garden Inn - corporate card</t>
        </is>
      </c>
      <c r="H60" t="inlineStr">
        <is>
          <t>CC-98431</t>
        </is>
      </c>
      <c r="J60" t="n">
        <v>245.55</v>
      </c>
      <c r="K60" t="inlineStr">
        <is>
          <t>Card feed</t>
        </is>
      </c>
      <c r="L60" t="inlineStr">
        <is>
          <t>system</t>
        </is>
      </c>
      <c r="M60" t="inlineStr"/>
    </row>
    <row r="61">
      <c r="A61" t="inlineStr">
        <is>
          <t>202608-0083</t>
        </is>
      </c>
      <c r="B61" t="inlineStr">
        <is>
          <t>JE-6202</t>
        </is>
      </c>
      <c r="C61" t="inlineStr">
        <is>
          <t>2026-08-10</t>
        </is>
      </c>
      <c r="D61" t="n">
        <v>6420</v>
      </c>
      <c r="E61" t="inlineStr">
        <is>
          <t>Software Subscriptions</t>
        </is>
      </c>
      <c r="F61" t="inlineStr">
        <is>
          <t>Zoom Video</t>
        </is>
      </c>
      <c r="G61" t="inlineStr">
        <is>
          <t>Zoom Video - corporate card</t>
        </is>
      </c>
      <c r="H61" t="inlineStr">
        <is>
          <t>CC-43291</t>
        </is>
      </c>
      <c r="I61" t="n">
        <v>31.58</v>
      </c>
      <c r="K61" t="inlineStr">
        <is>
          <t>Card feed</t>
        </is>
      </c>
      <c r="L61" t="inlineStr">
        <is>
          <t>system</t>
        </is>
      </c>
      <c r="M61" t="inlineStr"/>
    </row>
    <row r="62">
      <c r="A62" t="inlineStr">
        <is>
          <t>202608-0084</t>
        </is>
      </c>
      <c r="B62" t="inlineStr">
        <is>
          <t>JE-6202</t>
        </is>
      </c>
      <c r="C62" t="inlineStr">
        <is>
          <t>2026-08-10</t>
        </is>
      </c>
      <c r="D62" t="n">
        <v>2000</v>
      </c>
      <c r="E62" t="inlineStr">
        <is>
          <t>Accounts Payable</t>
        </is>
      </c>
      <c r="F62" t="inlineStr">
        <is>
          <t>Zoom Video</t>
        </is>
      </c>
      <c r="G62" t="inlineStr">
        <is>
          <t>Zoom Video - corporate card</t>
        </is>
      </c>
      <c r="H62" t="inlineStr">
        <is>
          <t>CC-43291</t>
        </is>
      </c>
      <c r="J62" t="n">
        <v>31.58</v>
      </c>
      <c r="K62" t="inlineStr">
        <is>
          <t>Card feed</t>
        </is>
      </c>
      <c r="L62" t="inlineStr">
        <is>
          <t>system</t>
        </is>
      </c>
      <c r="M62" t="inlineStr"/>
    </row>
    <row r="63">
      <c r="A63" t="inlineStr">
        <is>
          <t>202608-0097</t>
        </is>
      </c>
      <c r="B63" t="inlineStr">
        <is>
          <t>JE-6209</t>
        </is>
      </c>
      <c r="C63" t="inlineStr">
        <is>
          <t>2026-08-10</t>
        </is>
      </c>
      <c r="D63" t="n">
        <v>6900</v>
      </c>
      <c r="E63" t="inlineStr">
        <is>
          <t>Travel &amp; Meals</t>
        </is>
      </c>
      <c r="F63" t="inlineStr">
        <is>
          <t>Hilton Garden Inn</t>
        </is>
      </c>
      <c r="G63" t="inlineStr">
        <is>
          <t>Hilton Garden Inn - corporate card</t>
        </is>
      </c>
      <c r="H63" t="inlineStr">
        <is>
          <t>CC-69132</t>
        </is>
      </c>
      <c r="I63" t="n">
        <v>340.74</v>
      </c>
      <c r="K63" t="inlineStr">
        <is>
          <t>Card feed</t>
        </is>
      </c>
      <c r="L63" t="inlineStr">
        <is>
          <t>system</t>
        </is>
      </c>
      <c r="M63" t="inlineStr"/>
    </row>
    <row r="64">
      <c r="A64" t="inlineStr">
        <is>
          <t>202608-0098</t>
        </is>
      </c>
      <c r="B64" t="inlineStr">
        <is>
          <t>JE-6209</t>
        </is>
      </c>
      <c r="C64" t="inlineStr">
        <is>
          <t>2026-08-10</t>
        </is>
      </c>
      <c r="D64" t="n">
        <v>2000</v>
      </c>
      <c r="E64" t="inlineStr">
        <is>
          <t>Accounts Payable</t>
        </is>
      </c>
      <c r="F64" t="inlineStr">
        <is>
          <t>Hilton Garden Inn</t>
        </is>
      </c>
      <c r="G64" t="inlineStr">
        <is>
          <t>Hilton Garden Inn - corporate card</t>
        </is>
      </c>
      <c r="H64" t="inlineStr">
        <is>
          <t>CC-69132</t>
        </is>
      </c>
      <c r="J64" t="n">
        <v>340.74</v>
      </c>
      <c r="K64" t="inlineStr">
        <is>
          <t>Card feed</t>
        </is>
      </c>
      <c r="L64" t="inlineStr">
        <is>
          <t>system</t>
        </is>
      </c>
      <c r="M64" t="inlineStr"/>
    </row>
    <row r="65">
      <c r="A65" t="inlineStr">
        <is>
          <t>202608-0107</t>
        </is>
      </c>
      <c r="B65" t="inlineStr">
        <is>
          <t>JE-6214</t>
        </is>
      </c>
      <c r="C65" t="inlineStr">
        <is>
          <t>2026-08-10</t>
        </is>
      </c>
      <c r="D65" t="n">
        <v>6900</v>
      </c>
      <c r="E65" t="inlineStr">
        <is>
          <t>Travel &amp; Meals</t>
        </is>
      </c>
      <c r="F65" t="inlineStr">
        <is>
          <t>Grubhub Corporate</t>
        </is>
      </c>
      <c r="G65" t="inlineStr">
        <is>
          <t>Grubhub Corporate - corporate card</t>
        </is>
      </c>
      <c r="H65" t="inlineStr">
        <is>
          <t>CC-88334</t>
        </is>
      </c>
      <c r="I65" t="n">
        <v>306.75</v>
      </c>
      <c r="K65" t="inlineStr">
        <is>
          <t>Card feed</t>
        </is>
      </c>
      <c r="L65" t="inlineStr">
        <is>
          <t>system</t>
        </is>
      </c>
      <c r="M65" t="inlineStr"/>
    </row>
    <row r="66">
      <c r="A66" t="inlineStr">
        <is>
          <t>202608-0108</t>
        </is>
      </c>
      <c r="B66" t="inlineStr">
        <is>
          <t>JE-6214</t>
        </is>
      </c>
      <c r="C66" t="inlineStr">
        <is>
          <t>2026-08-10</t>
        </is>
      </c>
      <c r="D66" t="n">
        <v>2000</v>
      </c>
      <c r="E66" t="inlineStr">
        <is>
          <t>Accounts Payable</t>
        </is>
      </c>
      <c r="F66" t="inlineStr">
        <is>
          <t>Grubhub Corporate</t>
        </is>
      </c>
      <c r="G66" t="inlineStr">
        <is>
          <t>Grubhub Corporate - corporate card</t>
        </is>
      </c>
      <c r="H66" t="inlineStr">
        <is>
          <t>CC-88334</t>
        </is>
      </c>
      <c r="J66" t="n">
        <v>306.75</v>
      </c>
      <c r="K66" t="inlineStr">
        <is>
          <t>Card feed</t>
        </is>
      </c>
      <c r="L66" t="inlineStr">
        <is>
          <t>system</t>
        </is>
      </c>
      <c r="M66" t="inlineStr"/>
    </row>
    <row r="67">
      <c r="A67" t="inlineStr">
        <is>
          <t>202608-0109</t>
        </is>
      </c>
      <c r="B67" t="inlineStr">
        <is>
          <t>JE-6215</t>
        </is>
      </c>
      <c r="C67" t="inlineStr">
        <is>
          <t>2026-08-10</t>
        </is>
      </c>
      <c r="D67" t="n">
        <v>6900</v>
      </c>
      <c r="E67" t="inlineStr">
        <is>
          <t>Travel &amp; Meals</t>
        </is>
      </c>
      <c r="F67" t="inlineStr">
        <is>
          <t>DoorDash for Work</t>
        </is>
      </c>
      <c r="G67" t="inlineStr">
        <is>
          <t>DoorDash for Work - corporate card</t>
        </is>
      </c>
      <c r="H67" t="inlineStr">
        <is>
          <t>CC-83743</t>
        </is>
      </c>
      <c r="I67" t="n">
        <v>123.05</v>
      </c>
      <c r="K67" t="inlineStr">
        <is>
          <t>Card feed</t>
        </is>
      </c>
      <c r="L67" t="inlineStr">
        <is>
          <t>system</t>
        </is>
      </c>
      <c r="M67" t="inlineStr"/>
    </row>
    <row r="68">
      <c r="A68" t="inlineStr">
        <is>
          <t>202608-0110</t>
        </is>
      </c>
      <c r="B68" t="inlineStr">
        <is>
          <t>JE-6215</t>
        </is>
      </c>
      <c r="C68" t="inlineStr">
        <is>
          <t>2026-08-10</t>
        </is>
      </c>
      <c r="D68" t="n">
        <v>2000</v>
      </c>
      <c r="E68" t="inlineStr">
        <is>
          <t>Accounts Payable</t>
        </is>
      </c>
      <c r="F68" t="inlineStr">
        <is>
          <t>DoorDash for Work</t>
        </is>
      </c>
      <c r="G68" t="inlineStr">
        <is>
          <t>DoorDash for Work - corporate card</t>
        </is>
      </c>
      <c r="H68" t="inlineStr">
        <is>
          <t>CC-83743</t>
        </is>
      </c>
      <c r="J68" t="n">
        <v>123.05</v>
      </c>
      <c r="K68" t="inlineStr">
        <is>
          <t>Card feed</t>
        </is>
      </c>
      <c r="L68" t="inlineStr">
        <is>
          <t>system</t>
        </is>
      </c>
      <c r="M68" t="inlineStr"/>
    </row>
    <row r="69">
      <c r="A69" t="inlineStr">
        <is>
          <t>202608-0123</t>
        </is>
      </c>
      <c r="B69" t="inlineStr">
        <is>
          <t>JE-6222</t>
        </is>
      </c>
      <c r="C69" t="inlineStr">
        <is>
          <t>2026-08-10</t>
        </is>
      </c>
      <c r="D69" t="n">
        <v>6900</v>
      </c>
      <c r="E69" t="inlineStr">
        <is>
          <t>Travel &amp; Meals</t>
        </is>
      </c>
      <c r="F69" t="inlineStr">
        <is>
          <t>Delta Air Lines</t>
        </is>
      </c>
      <c r="G69" t="inlineStr">
        <is>
          <t>Delta Air Lines - corporate card</t>
        </is>
      </c>
      <c r="H69" t="inlineStr">
        <is>
          <t>CC-45403</t>
        </is>
      </c>
      <c r="I69" t="n">
        <v>335.24</v>
      </c>
      <c r="K69" t="inlineStr">
        <is>
          <t>Card feed</t>
        </is>
      </c>
      <c r="L69" t="inlineStr">
        <is>
          <t>system</t>
        </is>
      </c>
      <c r="M69" t="inlineStr"/>
    </row>
    <row r="70">
      <c r="A70" t="inlineStr">
        <is>
          <t>202608-0124</t>
        </is>
      </c>
      <c r="B70" t="inlineStr">
        <is>
          <t>JE-6222</t>
        </is>
      </c>
      <c r="C70" t="inlineStr">
        <is>
          <t>2026-08-10</t>
        </is>
      </c>
      <c r="D70" t="n">
        <v>2000</v>
      </c>
      <c r="E70" t="inlineStr">
        <is>
          <t>Accounts Payable</t>
        </is>
      </c>
      <c r="F70" t="inlineStr">
        <is>
          <t>Delta Air Lines</t>
        </is>
      </c>
      <c r="G70" t="inlineStr">
        <is>
          <t>Delta Air Lines - corporate card</t>
        </is>
      </c>
      <c r="H70" t="inlineStr">
        <is>
          <t>CC-45403</t>
        </is>
      </c>
      <c r="J70" t="n">
        <v>335.24</v>
      </c>
      <c r="K70" t="inlineStr">
        <is>
          <t>Card feed</t>
        </is>
      </c>
      <c r="L70" t="inlineStr">
        <is>
          <t>system</t>
        </is>
      </c>
      <c r="M70" t="inlineStr"/>
    </row>
    <row r="71">
      <c r="A71" t="inlineStr">
        <is>
          <t>202608-0129</t>
        </is>
      </c>
      <c r="B71" t="inlineStr">
        <is>
          <t>JE-6225</t>
        </is>
      </c>
      <c r="C71" t="inlineStr">
        <is>
          <t>2026-08-10</t>
        </is>
      </c>
      <c r="D71" t="n">
        <v>6900</v>
      </c>
      <c r="E71" t="inlineStr">
        <is>
          <t>Travel &amp; Meals</t>
        </is>
      </c>
      <c r="F71" t="inlineStr">
        <is>
          <t>DoorDash for Work</t>
        </is>
      </c>
      <c r="G71" t="inlineStr">
        <is>
          <t>DoorDash for Work - corporate card</t>
        </is>
      </c>
      <c r="H71" t="inlineStr">
        <is>
          <t>CC-84109</t>
        </is>
      </c>
      <c r="I71" t="n">
        <v>64.08</v>
      </c>
      <c r="K71" t="inlineStr">
        <is>
          <t>Card feed</t>
        </is>
      </c>
      <c r="L71" t="inlineStr">
        <is>
          <t>system</t>
        </is>
      </c>
      <c r="M71" t="inlineStr"/>
    </row>
    <row r="72">
      <c r="A72" t="inlineStr">
        <is>
          <t>202608-0130</t>
        </is>
      </c>
      <c r="B72" t="inlineStr">
        <is>
          <t>JE-6225</t>
        </is>
      </c>
      <c r="C72" t="inlineStr">
        <is>
          <t>2026-08-10</t>
        </is>
      </c>
      <c r="D72" t="n">
        <v>2000</v>
      </c>
      <c r="E72" t="inlineStr">
        <is>
          <t>Accounts Payable</t>
        </is>
      </c>
      <c r="F72" t="inlineStr">
        <is>
          <t>DoorDash for Work</t>
        </is>
      </c>
      <c r="G72" t="inlineStr">
        <is>
          <t>DoorDash for Work - corporate card</t>
        </is>
      </c>
      <c r="H72" t="inlineStr">
        <is>
          <t>CC-84109</t>
        </is>
      </c>
      <c r="J72" t="n">
        <v>64.08</v>
      </c>
      <c r="K72" t="inlineStr">
        <is>
          <t>Card feed</t>
        </is>
      </c>
      <c r="L72" t="inlineStr">
        <is>
          <t>system</t>
        </is>
      </c>
      <c r="M72" t="inlineStr"/>
    </row>
    <row r="73">
      <c r="A73" t="inlineStr">
        <is>
          <t>202608-0133</t>
        </is>
      </c>
      <c r="B73" t="inlineStr">
        <is>
          <t>JE-6227</t>
        </is>
      </c>
      <c r="C73" t="inlineStr">
        <is>
          <t>2026-08-10</t>
        </is>
      </c>
      <c r="D73" t="n">
        <v>6900</v>
      </c>
      <c r="E73" t="inlineStr">
        <is>
          <t>Travel &amp; Meals</t>
        </is>
      </c>
      <c r="F73" t="inlineStr">
        <is>
          <t>Grubhub Corporate</t>
        </is>
      </c>
      <c r="G73" t="inlineStr">
        <is>
          <t>Grubhub Corporate - corporate card</t>
        </is>
      </c>
      <c r="H73" t="inlineStr">
        <is>
          <t>CC-40100</t>
        </is>
      </c>
      <c r="I73" t="n">
        <v>174.72</v>
      </c>
      <c r="K73" t="inlineStr">
        <is>
          <t>Card feed</t>
        </is>
      </c>
      <c r="L73" t="inlineStr">
        <is>
          <t>system</t>
        </is>
      </c>
      <c r="M73" t="inlineStr"/>
    </row>
    <row r="74">
      <c r="A74" t="inlineStr">
        <is>
          <t>202608-0134</t>
        </is>
      </c>
      <c r="B74" t="inlineStr">
        <is>
          <t>JE-6227</t>
        </is>
      </c>
      <c r="C74" t="inlineStr">
        <is>
          <t>2026-08-10</t>
        </is>
      </c>
      <c r="D74" t="n">
        <v>2000</v>
      </c>
      <c r="E74" t="inlineStr">
        <is>
          <t>Accounts Payable</t>
        </is>
      </c>
      <c r="F74" t="inlineStr">
        <is>
          <t>Grubhub Corporate</t>
        </is>
      </c>
      <c r="G74" t="inlineStr">
        <is>
          <t>Grubhub Corporate - corporate card</t>
        </is>
      </c>
      <c r="H74" t="inlineStr">
        <is>
          <t>CC-40100</t>
        </is>
      </c>
      <c r="J74" t="n">
        <v>174.72</v>
      </c>
      <c r="K74" t="inlineStr">
        <is>
          <t>Card feed</t>
        </is>
      </c>
      <c r="L74" t="inlineStr">
        <is>
          <t>system</t>
        </is>
      </c>
      <c r="M74" t="inlineStr"/>
    </row>
    <row r="75">
      <c r="A75" t="inlineStr">
        <is>
          <t>202608-0137</t>
        </is>
      </c>
      <c r="B75" t="inlineStr">
        <is>
          <t>JE-6229</t>
        </is>
      </c>
      <c r="C75" t="inlineStr">
        <is>
          <t>2026-08-10</t>
        </is>
      </c>
      <c r="D75" t="n">
        <v>6900</v>
      </c>
      <c r="E75" t="inlineStr">
        <is>
          <t>Travel &amp; Meals</t>
        </is>
      </c>
      <c r="F75" t="inlineStr">
        <is>
          <t>Grubhub Corporate</t>
        </is>
      </c>
      <c r="G75" t="inlineStr">
        <is>
          <t>Grubhub Corporate - corporate card</t>
        </is>
      </c>
      <c r="H75" t="inlineStr">
        <is>
          <t>CC-54114</t>
        </is>
      </c>
      <c r="I75" t="n">
        <v>165.12</v>
      </c>
      <c r="K75" t="inlineStr">
        <is>
          <t>Card feed</t>
        </is>
      </c>
      <c r="L75" t="inlineStr">
        <is>
          <t>system</t>
        </is>
      </c>
      <c r="M75" t="inlineStr"/>
    </row>
    <row r="76">
      <c r="A76" t="inlineStr">
        <is>
          <t>202608-0138</t>
        </is>
      </c>
      <c r="B76" t="inlineStr">
        <is>
          <t>JE-6229</t>
        </is>
      </c>
      <c r="C76" t="inlineStr">
        <is>
          <t>2026-08-10</t>
        </is>
      </c>
      <c r="D76" t="n">
        <v>2000</v>
      </c>
      <c r="E76" t="inlineStr">
        <is>
          <t>Accounts Payable</t>
        </is>
      </c>
      <c r="F76" t="inlineStr">
        <is>
          <t>Grubhub Corporate</t>
        </is>
      </c>
      <c r="G76" t="inlineStr">
        <is>
          <t>Grubhub Corporate - corporate card</t>
        </is>
      </c>
      <c r="H76" t="inlineStr">
        <is>
          <t>CC-54114</t>
        </is>
      </c>
      <c r="J76" t="n">
        <v>165.12</v>
      </c>
      <c r="K76" t="inlineStr">
        <is>
          <t>Card feed</t>
        </is>
      </c>
      <c r="L76" t="inlineStr">
        <is>
          <t>system</t>
        </is>
      </c>
      <c r="M76" t="inlineStr"/>
    </row>
    <row r="77">
      <c r="A77" t="inlineStr">
        <is>
          <t>202608-0145</t>
        </is>
      </c>
      <c r="B77" t="inlineStr">
        <is>
          <t>JE-6233</t>
        </is>
      </c>
      <c r="C77" t="inlineStr">
        <is>
          <t>2026-08-10</t>
        </is>
      </c>
      <c r="D77" t="n">
        <v>6100</v>
      </c>
      <c r="E77" t="inlineStr">
        <is>
          <t>Office Supplies</t>
        </is>
      </c>
      <c r="F77" t="inlineStr">
        <is>
          <t>FedEx</t>
        </is>
      </c>
      <c r="G77" t="inlineStr">
        <is>
          <t>FedEx - corporate card</t>
        </is>
      </c>
      <c r="H77" t="inlineStr">
        <is>
          <t>CC-79124</t>
        </is>
      </c>
      <c r="I77" t="n">
        <v>62.98</v>
      </c>
      <c r="K77" t="inlineStr">
        <is>
          <t>Card feed</t>
        </is>
      </c>
      <c r="L77" t="inlineStr">
        <is>
          <t>system</t>
        </is>
      </c>
      <c r="M77" t="inlineStr"/>
    </row>
    <row r="78">
      <c r="A78" t="inlineStr">
        <is>
          <t>202608-0146</t>
        </is>
      </c>
      <c r="B78" t="inlineStr">
        <is>
          <t>JE-6233</t>
        </is>
      </c>
      <c r="C78" t="inlineStr">
        <is>
          <t>2026-08-10</t>
        </is>
      </c>
      <c r="D78" t="n">
        <v>2000</v>
      </c>
      <c r="E78" t="inlineStr">
        <is>
          <t>Accounts Payable</t>
        </is>
      </c>
      <c r="F78" t="inlineStr">
        <is>
          <t>FedEx</t>
        </is>
      </c>
      <c r="G78" t="inlineStr">
        <is>
          <t>FedEx - corporate card</t>
        </is>
      </c>
      <c r="H78" t="inlineStr">
        <is>
          <t>CC-79124</t>
        </is>
      </c>
      <c r="J78" t="n">
        <v>62.98</v>
      </c>
      <c r="K78" t="inlineStr">
        <is>
          <t>Card feed</t>
        </is>
      </c>
      <c r="L78" t="inlineStr">
        <is>
          <t>system</t>
        </is>
      </c>
      <c r="M78" t="inlineStr"/>
    </row>
    <row r="79">
      <c r="A79" t="inlineStr">
        <is>
          <t>202608-0155</t>
        </is>
      </c>
      <c r="B79" t="inlineStr">
        <is>
          <t>JE-6238</t>
        </is>
      </c>
      <c r="C79" t="inlineStr">
        <is>
          <t>2026-08-10</t>
        </is>
      </c>
      <c r="D79" t="n">
        <v>6420</v>
      </c>
      <c r="E79" t="inlineStr">
        <is>
          <t>Software Subscriptions</t>
        </is>
      </c>
      <c r="F79" t="inlineStr">
        <is>
          <t>Adobe Inc.</t>
        </is>
      </c>
      <c r="G79" t="inlineStr">
        <is>
          <t>Adobe Inc. - corporate card</t>
        </is>
      </c>
      <c r="H79" t="inlineStr">
        <is>
          <t>CC-19822</t>
        </is>
      </c>
      <c r="I79" t="n">
        <v>55</v>
      </c>
      <c r="K79" t="inlineStr">
        <is>
          <t>Card feed</t>
        </is>
      </c>
      <c r="L79" t="inlineStr">
        <is>
          <t>system</t>
        </is>
      </c>
      <c r="M79" t="inlineStr"/>
    </row>
    <row r="80">
      <c r="A80" t="inlineStr">
        <is>
          <t>202608-0156</t>
        </is>
      </c>
      <c r="B80" t="inlineStr">
        <is>
          <t>JE-6238</t>
        </is>
      </c>
      <c r="C80" t="inlineStr">
        <is>
          <t>2026-08-10</t>
        </is>
      </c>
      <c r="D80" t="n">
        <v>2000</v>
      </c>
      <c r="E80" t="inlineStr">
        <is>
          <t>Accounts Payable</t>
        </is>
      </c>
      <c r="F80" t="inlineStr">
        <is>
          <t>Adobe Inc.</t>
        </is>
      </c>
      <c r="G80" t="inlineStr">
        <is>
          <t>Adobe Inc. - corporate card</t>
        </is>
      </c>
      <c r="H80" t="inlineStr">
        <is>
          <t>CC-19822</t>
        </is>
      </c>
      <c r="J80" t="n">
        <v>55</v>
      </c>
      <c r="K80" t="inlineStr">
        <is>
          <t>Card feed</t>
        </is>
      </c>
      <c r="L80" t="inlineStr">
        <is>
          <t>system</t>
        </is>
      </c>
      <c r="M80" t="inlineStr"/>
    </row>
    <row r="81">
      <c r="A81" t="inlineStr">
        <is>
          <t>202608-0159</t>
        </is>
      </c>
      <c r="B81" t="inlineStr">
        <is>
          <t>JE-6240</t>
        </is>
      </c>
      <c r="C81" t="inlineStr">
        <is>
          <t>2026-08-10</t>
        </is>
      </c>
      <c r="D81" t="n">
        <v>6100</v>
      </c>
      <c r="E81" t="inlineStr">
        <is>
          <t>Office Supplies</t>
        </is>
      </c>
      <c r="F81" t="inlineStr">
        <is>
          <t>UPS Store 4417</t>
        </is>
      </c>
      <c r="G81" t="inlineStr">
        <is>
          <t>UPS Store 4417 - corporate card</t>
        </is>
      </c>
      <c r="H81" t="inlineStr">
        <is>
          <t>CC-50602</t>
        </is>
      </c>
      <c r="I81" t="n">
        <v>67.92</v>
      </c>
      <c r="K81" t="inlineStr">
        <is>
          <t>Card feed</t>
        </is>
      </c>
      <c r="L81" t="inlineStr">
        <is>
          <t>system</t>
        </is>
      </c>
      <c r="M81" t="inlineStr"/>
    </row>
    <row r="82">
      <c r="A82" t="inlineStr">
        <is>
          <t>202608-0160</t>
        </is>
      </c>
      <c r="B82" t="inlineStr">
        <is>
          <t>JE-6240</t>
        </is>
      </c>
      <c r="C82" t="inlineStr">
        <is>
          <t>2026-08-10</t>
        </is>
      </c>
      <c r="D82" t="n">
        <v>2000</v>
      </c>
      <c r="E82" t="inlineStr">
        <is>
          <t>Accounts Payable</t>
        </is>
      </c>
      <c r="F82" t="inlineStr">
        <is>
          <t>UPS Store 4417</t>
        </is>
      </c>
      <c r="G82" t="inlineStr">
        <is>
          <t>UPS Store 4417 - corporate card</t>
        </is>
      </c>
      <c r="H82" t="inlineStr">
        <is>
          <t>CC-50602</t>
        </is>
      </c>
      <c r="J82" t="n">
        <v>67.92</v>
      </c>
      <c r="K82" t="inlineStr">
        <is>
          <t>Card feed</t>
        </is>
      </c>
      <c r="L82" t="inlineStr">
        <is>
          <t>system</t>
        </is>
      </c>
      <c r="M82" t="inlineStr"/>
    </row>
    <row r="83">
      <c r="A83" t="inlineStr">
        <is>
          <t>202608-0087</t>
        </is>
      </c>
      <c r="B83" t="inlineStr">
        <is>
          <t>JE-6204</t>
        </is>
      </c>
      <c r="C83" t="inlineStr">
        <is>
          <t>2026-08-11</t>
        </is>
      </c>
      <c r="D83" t="n">
        <v>6100</v>
      </c>
      <c r="E83" t="inlineStr">
        <is>
          <t>Office Supplies</t>
        </is>
      </c>
      <c r="F83" t="inlineStr">
        <is>
          <t>Staples Business</t>
        </is>
      </c>
      <c r="G83" t="inlineStr">
        <is>
          <t>Staples Business - corporate card</t>
        </is>
      </c>
      <c r="H83" t="inlineStr">
        <is>
          <t>CC-94154</t>
        </is>
      </c>
      <c r="I83" t="n">
        <v>418.48</v>
      </c>
      <c r="K83" t="inlineStr">
        <is>
          <t>Card feed</t>
        </is>
      </c>
      <c r="L83" t="inlineStr">
        <is>
          <t>system</t>
        </is>
      </c>
      <c r="M83" t="inlineStr"/>
    </row>
    <row r="84">
      <c r="A84" t="inlineStr">
        <is>
          <t>202608-0088</t>
        </is>
      </c>
      <c r="B84" t="inlineStr">
        <is>
          <t>JE-6204</t>
        </is>
      </c>
      <c r="C84" t="inlineStr">
        <is>
          <t>2026-08-11</t>
        </is>
      </c>
      <c r="D84" t="n">
        <v>2000</v>
      </c>
      <c r="E84" t="inlineStr">
        <is>
          <t>Accounts Payable</t>
        </is>
      </c>
      <c r="F84" t="inlineStr">
        <is>
          <t>Staples Business</t>
        </is>
      </c>
      <c r="G84" t="inlineStr">
        <is>
          <t>Staples Business - corporate card</t>
        </is>
      </c>
      <c r="H84" t="inlineStr">
        <is>
          <t>CC-94154</t>
        </is>
      </c>
      <c r="J84" t="n">
        <v>418.48</v>
      </c>
      <c r="K84" t="inlineStr">
        <is>
          <t>Card feed</t>
        </is>
      </c>
      <c r="L84" t="inlineStr">
        <is>
          <t>system</t>
        </is>
      </c>
      <c r="M84" t="inlineStr"/>
    </row>
    <row r="85">
      <c r="A85" t="inlineStr">
        <is>
          <t>202608-0117</t>
        </is>
      </c>
      <c r="B85" t="inlineStr">
        <is>
          <t>JE-6219</t>
        </is>
      </c>
      <c r="C85" t="inlineStr">
        <is>
          <t>2026-08-11</t>
        </is>
      </c>
      <c r="D85" t="n">
        <v>6900</v>
      </c>
      <c r="E85" t="inlineStr">
        <is>
          <t>Travel &amp; Meals</t>
        </is>
      </c>
      <c r="F85" t="inlineStr">
        <is>
          <t>Hilton Garden Inn</t>
        </is>
      </c>
      <c r="G85" t="inlineStr">
        <is>
          <t>Hilton Garden Inn - corporate card</t>
        </is>
      </c>
      <c r="H85" t="inlineStr">
        <is>
          <t>CC-90669</t>
        </is>
      </c>
      <c r="I85" t="n">
        <v>335.37</v>
      </c>
      <c r="K85" t="inlineStr">
        <is>
          <t>Card feed</t>
        </is>
      </c>
      <c r="L85" t="inlineStr">
        <is>
          <t>system</t>
        </is>
      </c>
      <c r="M85" t="inlineStr"/>
    </row>
    <row r="86">
      <c r="A86" t="inlineStr">
        <is>
          <t>202608-0118</t>
        </is>
      </c>
      <c r="B86" t="inlineStr">
        <is>
          <t>JE-6219</t>
        </is>
      </c>
      <c r="C86" t="inlineStr">
        <is>
          <t>2026-08-11</t>
        </is>
      </c>
      <c r="D86" t="n">
        <v>2000</v>
      </c>
      <c r="E86" t="inlineStr">
        <is>
          <t>Accounts Payable</t>
        </is>
      </c>
      <c r="F86" t="inlineStr">
        <is>
          <t>Hilton Garden Inn</t>
        </is>
      </c>
      <c r="G86" t="inlineStr">
        <is>
          <t>Hilton Garden Inn - corporate card</t>
        </is>
      </c>
      <c r="H86" t="inlineStr">
        <is>
          <t>CC-90669</t>
        </is>
      </c>
      <c r="J86" t="n">
        <v>335.37</v>
      </c>
      <c r="K86" t="inlineStr">
        <is>
          <t>Card feed</t>
        </is>
      </c>
      <c r="L86" t="inlineStr">
        <is>
          <t>system</t>
        </is>
      </c>
      <c r="M86" t="inlineStr"/>
    </row>
    <row r="87">
      <c r="A87" t="inlineStr">
        <is>
          <t>202608-0165</t>
        </is>
      </c>
      <c r="B87" t="inlineStr">
        <is>
          <t>JE-9101</t>
        </is>
      </c>
      <c r="C87" t="inlineStr">
        <is>
          <t>2026-08-11</t>
        </is>
      </c>
      <c r="D87" t="n">
        <v>6600</v>
      </c>
      <c r="E87" t="inlineStr">
        <is>
          <t>Professional Fees</t>
        </is>
      </c>
      <c r="F87" t="inlineStr">
        <is>
          <t>Dunmore Legal Advisors</t>
        </is>
      </c>
      <c r="G87" t="inlineStr">
        <is>
          <t>Legal review - carrier MSA</t>
        </is>
      </c>
      <c r="H87" t="inlineStr">
        <is>
          <t>DLA-5521</t>
        </is>
      </c>
      <c r="I87" t="n">
        <v>4750</v>
      </c>
      <c r="K87" t="inlineStr">
        <is>
          <t>AP</t>
        </is>
      </c>
      <c r="L87" t="inlineStr">
        <is>
          <t>system</t>
        </is>
      </c>
      <c r="M87" t="inlineStr"/>
    </row>
    <row r="88">
      <c r="A88" t="inlineStr">
        <is>
          <t>202608-0166</t>
        </is>
      </c>
      <c r="B88" t="inlineStr">
        <is>
          <t>JE-9101</t>
        </is>
      </c>
      <c r="C88" t="inlineStr">
        <is>
          <t>2026-08-11</t>
        </is>
      </c>
      <c r="D88" t="n">
        <v>2000</v>
      </c>
      <c r="E88" t="inlineStr">
        <is>
          <t>Accounts Payable</t>
        </is>
      </c>
      <c r="F88" t="inlineStr">
        <is>
          <t>Dunmore Legal Advisors</t>
        </is>
      </c>
      <c r="G88" t="inlineStr">
        <is>
          <t>Legal review - carrier MSA</t>
        </is>
      </c>
      <c r="H88" t="inlineStr">
        <is>
          <t>DLA-5521</t>
        </is>
      </c>
      <c r="J88" t="n">
        <v>4750</v>
      </c>
      <c r="K88" t="inlineStr">
        <is>
          <t>AP</t>
        </is>
      </c>
      <c r="L88" t="inlineStr">
        <is>
          <t>system</t>
        </is>
      </c>
      <c r="M88" t="inlineStr"/>
    </row>
    <row r="89">
      <c r="A89" t="inlineStr">
        <is>
          <t>202608-0091</t>
        </is>
      </c>
      <c r="B89" t="inlineStr">
        <is>
          <t>JE-6206</t>
        </is>
      </c>
      <c r="C89" t="inlineStr">
        <is>
          <t>2026-08-12</t>
        </is>
      </c>
      <c r="D89" t="n">
        <v>6900</v>
      </c>
      <c r="E89" t="inlineStr">
        <is>
          <t>Travel &amp; Meals</t>
        </is>
      </c>
      <c r="F89" t="inlineStr">
        <is>
          <t>Hilton Garden Inn</t>
        </is>
      </c>
      <c r="G89" t="inlineStr">
        <is>
          <t>Hilton Garden Inn - corporate card</t>
        </is>
      </c>
      <c r="H89" t="inlineStr">
        <is>
          <t>CC-41308</t>
        </is>
      </c>
      <c r="I89" t="n">
        <v>161.43</v>
      </c>
      <c r="K89" t="inlineStr">
        <is>
          <t>Card feed</t>
        </is>
      </c>
      <c r="L89" t="inlineStr">
        <is>
          <t>system</t>
        </is>
      </c>
      <c r="M89" t="inlineStr"/>
    </row>
    <row r="90">
      <c r="A90" t="inlineStr">
        <is>
          <t>202608-0092</t>
        </is>
      </c>
      <c r="B90" t="inlineStr">
        <is>
          <t>JE-6206</t>
        </is>
      </c>
      <c r="C90" t="inlineStr">
        <is>
          <t>2026-08-12</t>
        </is>
      </c>
      <c r="D90" t="n">
        <v>2000</v>
      </c>
      <c r="E90" t="inlineStr">
        <is>
          <t>Accounts Payable</t>
        </is>
      </c>
      <c r="F90" t="inlineStr">
        <is>
          <t>Hilton Garden Inn</t>
        </is>
      </c>
      <c r="G90" t="inlineStr">
        <is>
          <t>Hilton Garden Inn - corporate card</t>
        </is>
      </c>
      <c r="H90" t="inlineStr">
        <is>
          <t>CC-41308</t>
        </is>
      </c>
      <c r="J90" t="n">
        <v>161.43</v>
      </c>
      <c r="K90" t="inlineStr">
        <is>
          <t>Card feed</t>
        </is>
      </c>
      <c r="L90" t="inlineStr">
        <is>
          <t>system</t>
        </is>
      </c>
      <c r="M90" t="inlineStr"/>
    </row>
    <row r="91">
      <c r="A91" t="inlineStr">
        <is>
          <t>202608-0105</t>
        </is>
      </c>
      <c r="B91" t="inlineStr">
        <is>
          <t>JE-6213</t>
        </is>
      </c>
      <c r="C91" t="inlineStr">
        <is>
          <t>2026-08-12</t>
        </is>
      </c>
      <c r="D91" t="n">
        <v>6900</v>
      </c>
      <c r="E91" t="inlineStr">
        <is>
          <t>Travel &amp; Meals</t>
        </is>
      </c>
      <c r="F91" t="inlineStr">
        <is>
          <t>DoorDash for Work</t>
        </is>
      </c>
      <c r="G91" t="inlineStr">
        <is>
          <t>DoorDash for Work - corporate card</t>
        </is>
      </c>
      <c r="H91" t="inlineStr">
        <is>
          <t>CC-64476</t>
        </is>
      </c>
      <c r="I91" t="n">
        <v>158.08</v>
      </c>
      <c r="K91" t="inlineStr">
        <is>
          <t>Card feed</t>
        </is>
      </c>
      <c r="L91" t="inlineStr">
        <is>
          <t>system</t>
        </is>
      </c>
      <c r="M91" t="inlineStr"/>
    </row>
    <row r="92">
      <c r="A92" t="inlineStr">
        <is>
          <t>202608-0106</t>
        </is>
      </c>
      <c r="B92" t="inlineStr">
        <is>
          <t>JE-6213</t>
        </is>
      </c>
      <c r="C92" t="inlineStr">
        <is>
          <t>2026-08-12</t>
        </is>
      </c>
      <c r="D92" t="n">
        <v>2000</v>
      </c>
      <c r="E92" t="inlineStr">
        <is>
          <t>Accounts Payable</t>
        </is>
      </c>
      <c r="F92" t="inlineStr">
        <is>
          <t>DoorDash for Work</t>
        </is>
      </c>
      <c r="G92" t="inlineStr">
        <is>
          <t>DoorDash for Work - corporate card</t>
        </is>
      </c>
      <c r="H92" t="inlineStr">
        <is>
          <t>CC-64476</t>
        </is>
      </c>
      <c r="J92" t="n">
        <v>158.08</v>
      </c>
      <c r="K92" t="inlineStr">
        <is>
          <t>Card feed</t>
        </is>
      </c>
      <c r="L92" t="inlineStr">
        <is>
          <t>system</t>
        </is>
      </c>
      <c r="M92" t="inlineStr"/>
    </row>
    <row r="93">
      <c r="A93" t="inlineStr">
        <is>
          <t>202608-0121</t>
        </is>
      </c>
      <c r="B93" t="inlineStr">
        <is>
          <t>JE-6221</t>
        </is>
      </c>
      <c r="C93" t="inlineStr">
        <is>
          <t>2026-08-12</t>
        </is>
      </c>
      <c r="D93" t="n">
        <v>6100</v>
      </c>
      <c r="E93" t="inlineStr">
        <is>
          <t>Office Supplies</t>
        </is>
      </c>
      <c r="F93" t="inlineStr">
        <is>
          <t>Staples Business</t>
        </is>
      </c>
      <c r="G93" t="inlineStr">
        <is>
          <t>Staples Business - corporate card</t>
        </is>
      </c>
      <c r="H93" t="inlineStr">
        <is>
          <t>CC-48450</t>
        </is>
      </c>
      <c r="I93" t="n">
        <v>389.44</v>
      </c>
      <c r="K93" t="inlineStr">
        <is>
          <t>Card feed</t>
        </is>
      </c>
      <c r="L93" t="inlineStr">
        <is>
          <t>system</t>
        </is>
      </c>
      <c r="M93" t="inlineStr"/>
    </row>
    <row r="94">
      <c r="A94" t="inlineStr">
        <is>
          <t>202608-0122</t>
        </is>
      </c>
      <c r="B94" t="inlineStr">
        <is>
          <t>JE-6221</t>
        </is>
      </c>
      <c r="C94" t="inlineStr">
        <is>
          <t>2026-08-12</t>
        </is>
      </c>
      <c r="D94" t="n">
        <v>2000</v>
      </c>
      <c r="E94" t="inlineStr">
        <is>
          <t>Accounts Payable</t>
        </is>
      </c>
      <c r="F94" t="inlineStr">
        <is>
          <t>Staples Business</t>
        </is>
      </c>
      <c r="G94" t="inlineStr">
        <is>
          <t>Staples Business - corporate card</t>
        </is>
      </c>
      <c r="H94" t="inlineStr">
        <is>
          <t>CC-48450</t>
        </is>
      </c>
      <c r="J94" t="n">
        <v>389.44</v>
      </c>
      <c r="K94" t="inlineStr">
        <is>
          <t>Card feed</t>
        </is>
      </c>
      <c r="L94" t="inlineStr">
        <is>
          <t>system</t>
        </is>
      </c>
      <c r="M94" t="inlineStr"/>
    </row>
    <row r="95">
      <c r="A95" t="inlineStr">
        <is>
          <t>202608-0095</t>
        </is>
      </c>
      <c r="B95" t="inlineStr">
        <is>
          <t>JE-6208</t>
        </is>
      </c>
      <c r="C95" t="inlineStr">
        <is>
          <t>2026-08-13</t>
        </is>
      </c>
      <c r="D95" t="n">
        <v>6100</v>
      </c>
      <c r="E95" t="inlineStr">
        <is>
          <t>Office Supplies</t>
        </is>
      </c>
      <c r="F95" t="inlineStr">
        <is>
          <t>Staples Business</t>
        </is>
      </c>
      <c r="G95" t="inlineStr">
        <is>
          <t>Staples Business - corporate card</t>
        </is>
      </c>
      <c r="H95" t="inlineStr">
        <is>
          <t>CC-99617</t>
        </is>
      </c>
      <c r="I95" t="n">
        <v>229.48</v>
      </c>
      <c r="K95" t="inlineStr">
        <is>
          <t>Card feed</t>
        </is>
      </c>
      <c r="L95" t="inlineStr">
        <is>
          <t>system</t>
        </is>
      </c>
      <c r="M95" t="inlineStr"/>
    </row>
    <row r="96">
      <c r="A96" t="inlineStr">
        <is>
          <t>202608-0096</t>
        </is>
      </c>
      <c r="B96" t="inlineStr">
        <is>
          <t>JE-6208</t>
        </is>
      </c>
      <c r="C96" t="inlineStr">
        <is>
          <t>2026-08-13</t>
        </is>
      </c>
      <c r="D96" t="n">
        <v>2000</v>
      </c>
      <c r="E96" t="inlineStr">
        <is>
          <t>Accounts Payable</t>
        </is>
      </c>
      <c r="F96" t="inlineStr">
        <is>
          <t>Staples Business</t>
        </is>
      </c>
      <c r="G96" t="inlineStr">
        <is>
          <t>Staples Business - corporate card</t>
        </is>
      </c>
      <c r="H96" t="inlineStr">
        <is>
          <t>CC-99617</t>
        </is>
      </c>
      <c r="J96" t="n">
        <v>229.48</v>
      </c>
      <c r="K96" t="inlineStr">
        <is>
          <t>Card feed</t>
        </is>
      </c>
      <c r="L96" t="inlineStr">
        <is>
          <t>system</t>
        </is>
      </c>
      <c r="M96" t="inlineStr"/>
    </row>
    <row r="97">
      <c r="A97" t="inlineStr">
        <is>
          <t>202608-0099</t>
        </is>
      </c>
      <c r="B97" t="inlineStr">
        <is>
          <t>JE-6210</t>
        </is>
      </c>
      <c r="C97" t="inlineStr">
        <is>
          <t>2026-08-13</t>
        </is>
      </c>
      <c r="D97" t="n">
        <v>6900</v>
      </c>
      <c r="E97" t="inlineStr">
        <is>
          <t>Travel &amp; Meals</t>
        </is>
      </c>
      <c r="F97" t="inlineStr">
        <is>
          <t>Hilton Garden Inn</t>
        </is>
      </c>
      <c r="G97" t="inlineStr">
        <is>
          <t>Hilton Garden Inn - corporate card</t>
        </is>
      </c>
      <c r="H97" t="inlineStr">
        <is>
          <t>CC-73305</t>
        </is>
      </c>
      <c r="I97" t="n">
        <v>405.99</v>
      </c>
      <c r="K97" t="inlineStr">
        <is>
          <t>Card feed</t>
        </is>
      </c>
      <c r="L97" t="inlineStr">
        <is>
          <t>system</t>
        </is>
      </c>
      <c r="M97" t="inlineStr"/>
    </row>
    <row r="98">
      <c r="A98" t="inlineStr">
        <is>
          <t>202608-0100</t>
        </is>
      </c>
      <c r="B98" t="inlineStr">
        <is>
          <t>JE-6210</t>
        </is>
      </c>
      <c r="C98" t="inlineStr">
        <is>
          <t>2026-08-13</t>
        </is>
      </c>
      <c r="D98" t="n">
        <v>2000</v>
      </c>
      <c r="E98" t="inlineStr">
        <is>
          <t>Accounts Payable</t>
        </is>
      </c>
      <c r="F98" t="inlineStr">
        <is>
          <t>Hilton Garden Inn</t>
        </is>
      </c>
      <c r="G98" t="inlineStr">
        <is>
          <t>Hilton Garden Inn - corporate card</t>
        </is>
      </c>
      <c r="H98" t="inlineStr">
        <is>
          <t>CC-73305</t>
        </is>
      </c>
      <c r="J98" t="n">
        <v>405.99</v>
      </c>
      <c r="K98" t="inlineStr">
        <is>
          <t>Card feed</t>
        </is>
      </c>
      <c r="L98" t="inlineStr">
        <is>
          <t>system</t>
        </is>
      </c>
      <c r="M98" t="inlineStr"/>
    </row>
    <row r="99">
      <c r="A99" t="inlineStr">
        <is>
          <t>202608-0157</t>
        </is>
      </c>
      <c r="B99" t="inlineStr">
        <is>
          <t>JE-6239</t>
        </is>
      </c>
      <c r="C99" t="inlineStr">
        <is>
          <t>2026-08-13</t>
        </is>
      </c>
      <c r="D99" t="n">
        <v>6420</v>
      </c>
      <c r="E99" t="inlineStr">
        <is>
          <t>Software Subscriptions</t>
        </is>
      </c>
      <c r="F99" t="inlineStr">
        <is>
          <t>Adobe Inc.</t>
        </is>
      </c>
      <c r="G99" t="inlineStr">
        <is>
          <t>Adobe Inc. - corporate card</t>
        </is>
      </c>
      <c r="H99" t="inlineStr">
        <is>
          <t>CC-27061</t>
        </is>
      </c>
      <c r="I99" t="n">
        <v>55</v>
      </c>
      <c r="K99" t="inlineStr">
        <is>
          <t>Card feed</t>
        </is>
      </c>
      <c r="L99" t="inlineStr">
        <is>
          <t>system</t>
        </is>
      </c>
      <c r="M99" t="inlineStr"/>
    </row>
    <row r="100">
      <c r="A100" t="inlineStr">
        <is>
          <t>202608-0158</t>
        </is>
      </c>
      <c r="B100" t="inlineStr">
        <is>
          <t>JE-6239</t>
        </is>
      </c>
      <c r="C100" t="inlineStr">
        <is>
          <t>2026-08-13</t>
        </is>
      </c>
      <c r="D100" t="n">
        <v>2000</v>
      </c>
      <c r="E100" t="inlineStr">
        <is>
          <t>Accounts Payable</t>
        </is>
      </c>
      <c r="F100" t="inlineStr">
        <is>
          <t>Adobe Inc.</t>
        </is>
      </c>
      <c r="G100" t="inlineStr">
        <is>
          <t>Adobe Inc. - corporate card</t>
        </is>
      </c>
      <c r="H100" t="inlineStr">
        <is>
          <t>CC-27061</t>
        </is>
      </c>
      <c r="J100" t="n">
        <v>55</v>
      </c>
      <c r="K100" t="inlineStr">
        <is>
          <t>Card feed</t>
        </is>
      </c>
      <c r="L100" t="inlineStr">
        <is>
          <t>system</t>
        </is>
      </c>
      <c r="M100" t="inlineStr"/>
    </row>
    <row r="101">
      <c r="A101" t="inlineStr">
        <is>
          <t>202608-0013</t>
        </is>
      </c>
      <c r="B101" t="inlineStr">
        <is>
          <t>JE-6168</t>
        </is>
      </c>
      <c r="C101" t="inlineStr">
        <is>
          <t>2026-08-14</t>
        </is>
      </c>
      <c r="D101" t="n">
        <v>6300</v>
      </c>
      <c r="E101" t="inlineStr">
        <is>
          <t>Telephone &amp; Internet</t>
        </is>
      </c>
      <c r="F101" t="inlineStr">
        <is>
          <t>Optimum Business</t>
        </is>
      </c>
      <c r="G101" t="inlineStr">
        <is>
          <t>Optimum Business - monthly</t>
        </is>
      </c>
      <c r="H101" t="inlineStr">
        <is>
          <t>OPT-202608-491</t>
        </is>
      </c>
      <c r="I101" t="n">
        <v>389.99</v>
      </c>
      <c r="K101" t="inlineStr">
        <is>
          <t>AP</t>
        </is>
      </c>
      <c r="L101" t="inlineStr">
        <is>
          <t>system</t>
        </is>
      </c>
      <c r="M101" t="inlineStr"/>
    </row>
    <row r="102">
      <c r="A102" t="inlineStr">
        <is>
          <t>202608-0014</t>
        </is>
      </c>
      <c r="B102" t="inlineStr">
        <is>
          <t>JE-6168</t>
        </is>
      </c>
      <c r="C102" t="inlineStr">
        <is>
          <t>2026-08-14</t>
        </is>
      </c>
      <c r="D102" t="n">
        <v>2000</v>
      </c>
      <c r="E102" t="inlineStr">
        <is>
          <t>Accounts Payable</t>
        </is>
      </c>
      <c r="F102" t="inlineStr">
        <is>
          <t>Optimum Business</t>
        </is>
      </c>
      <c r="G102" t="inlineStr">
        <is>
          <t>Optimum Business - monthly</t>
        </is>
      </c>
      <c r="H102" t="inlineStr">
        <is>
          <t>OPT-202608-491</t>
        </is>
      </c>
      <c r="J102" t="n">
        <v>389.99</v>
      </c>
      <c r="K102" t="inlineStr">
        <is>
          <t>AP</t>
        </is>
      </c>
      <c r="L102" t="inlineStr">
        <is>
          <t>system</t>
        </is>
      </c>
      <c r="M102" t="inlineStr"/>
    </row>
    <row r="103">
      <c r="A103" t="inlineStr">
        <is>
          <t>202608-0049</t>
        </is>
      </c>
      <c r="B103" t="inlineStr">
        <is>
          <t>JE-6185</t>
        </is>
      </c>
      <c r="C103" t="inlineStr">
        <is>
          <t>2026-08-14</t>
        </is>
      </c>
      <c r="D103" t="n">
        <v>6900</v>
      </c>
      <c r="E103" t="inlineStr">
        <is>
          <t>Travel &amp; Meals</t>
        </is>
      </c>
      <c r="F103" t="inlineStr">
        <is>
          <t>Delta Air Lines</t>
        </is>
      </c>
      <c r="G103" t="inlineStr">
        <is>
          <t>Delta Air Lines - corporate card</t>
        </is>
      </c>
      <c r="H103" t="inlineStr">
        <is>
          <t>CC-82270</t>
        </is>
      </c>
      <c r="I103" t="n">
        <v>211.27</v>
      </c>
      <c r="K103" t="inlineStr">
        <is>
          <t>Card feed</t>
        </is>
      </c>
      <c r="L103" t="inlineStr">
        <is>
          <t>system</t>
        </is>
      </c>
      <c r="M103" t="inlineStr"/>
    </row>
    <row r="104">
      <c r="A104" t="inlineStr">
        <is>
          <t>202608-0050</t>
        </is>
      </c>
      <c r="B104" t="inlineStr">
        <is>
          <t>JE-6185</t>
        </is>
      </c>
      <c r="C104" t="inlineStr">
        <is>
          <t>2026-08-14</t>
        </is>
      </c>
      <c r="D104" t="n">
        <v>2000</v>
      </c>
      <c r="E104" t="inlineStr">
        <is>
          <t>Accounts Payable</t>
        </is>
      </c>
      <c r="F104" t="inlineStr">
        <is>
          <t>Delta Air Lines</t>
        </is>
      </c>
      <c r="G104" t="inlineStr">
        <is>
          <t>Delta Air Lines - corporate card</t>
        </is>
      </c>
      <c r="H104" t="inlineStr">
        <is>
          <t>CC-82270</t>
        </is>
      </c>
      <c r="J104" t="n">
        <v>211.27</v>
      </c>
      <c r="K104" t="inlineStr">
        <is>
          <t>Card feed</t>
        </is>
      </c>
      <c r="L104" t="inlineStr">
        <is>
          <t>system</t>
        </is>
      </c>
      <c r="M104" t="inlineStr"/>
    </row>
    <row r="105">
      <c r="A105" t="inlineStr">
        <is>
          <t>202608-0093</t>
        </is>
      </c>
      <c r="B105" t="inlineStr">
        <is>
          <t>JE-6207</t>
        </is>
      </c>
      <c r="C105" t="inlineStr">
        <is>
          <t>2026-08-14</t>
        </is>
      </c>
      <c r="D105" t="n">
        <v>6100</v>
      </c>
      <c r="E105" t="inlineStr">
        <is>
          <t>Office Supplies</t>
        </is>
      </c>
      <c r="F105" t="inlineStr">
        <is>
          <t>UPS Store 4417</t>
        </is>
      </c>
      <c r="G105" t="inlineStr">
        <is>
          <t>UPS Store 4417 - corporate card</t>
        </is>
      </c>
      <c r="H105" t="inlineStr">
        <is>
          <t>CC-37644</t>
        </is>
      </c>
      <c r="I105" t="n">
        <v>33.26</v>
      </c>
      <c r="K105" t="inlineStr">
        <is>
          <t>Card feed</t>
        </is>
      </c>
      <c r="L105" t="inlineStr">
        <is>
          <t>system</t>
        </is>
      </c>
      <c r="M105" t="inlineStr"/>
    </row>
    <row r="106">
      <c r="A106" t="inlineStr">
        <is>
          <t>202608-0094</t>
        </is>
      </c>
      <c r="B106" t="inlineStr">
        <is>
          <t>JE-6207</t>
        </is>
      </c>
      <c r="C106" t="inlineStr">
        <is>
          <t>2026-08-14</t>
        </is>
      </c>
      <c r="D106" t="n">
        <v>2000</v>
      </c>
      <c r="E106" t="inlineStr">
        <is>
          <t>Accounts Payable</t>
        </is>
      </c>
      <c r="F106" t="inlineStr">
        <is>
          <t>UPS Store 4417</t>
        </is>
      </c>
      <c r="G106" t="inlineStr">
        <is>
          <t>UPS Store 4417 - corporate card</t>
        </is>
      </c>
      <c r="H106" t="inlineStr">
        <is>
          <t>CC-37644</t>
        </is>
      </c>
      <c r="J106" t="n">
        <v>33.26</v>
      </c>
      <c r="K106" t="inlineStr">
        <is>
          <t>Card feed</t>
        </is>
      </c>
      <c r="L106" t="inlineStr">
        <is>
          <t>system</t>
        </is>
      </c>
      <c r="M106" t="inlineStr"/>
    </row>
    <row r="107">
      <c r="A107" t="inlineStr">
        <is>
          <t>202608-0021</t>
        </is>
      </c>
      <c r="B107" t="inlineStr">
        <is>
          <t>JE-6172</t>
        </is>
      </c>
      <c r="C107" t="inlineStr">
        <is>
          <t>2026-08-15</t>
        </is>
      </c>
      <c r="D107" t="n">
        <v>6700</v>
      </c>
      <c r="E107" t="inlineStr">
        <is>
          <t>Insurance</t>
        </is>
      </c>
      <c r="F107" t="inlineStr">
        <is>
          <t>Hartwell Cyber Insurance</t>
        </is>
      </c>
      <c r="G107" t="inlineStr">
        <is>
          <t>Hartwell Cyber Insurance - monthly</t>
        </is>
      </c>
      <c r="H107" t="inlineStr">
        <is>
          <t>HAR-202608-461</t>
        </is>
      </c>
      <c r="I107" t="n">
        <v>2210</v>
      </c>
      <c r="K107" t="inlineStr">
        <is>
          <t>AP</t>
        </is>
      </c>
      <c r="L107" t="inlineStr">
        <is>
          <t>system</t>
        </is>
      </c>
      <c r="M107" t="inlineStr"/>
    </row>
    <row r="108">
      <c r="A108" t="inlineStr">
        <is>
          <t>202608-0022</t>
        </is>
      </c>
      <c r="B108" t="inlineStr">
        <is>
          <t>JE-6172</t>
        </is>
      </c>
      <c r="C108" t="inlineStr">
        <is>
          <t>2026-08-15</t>
        </is>
      </c>
      <c r="D108" t="n">
        <v>2000</v>
      </c>
      <c r="E108" t="inlineStr">
        <is>
          <t>Accounts Payable</t>
        </is>
      </c>
      <c r="F108" t="inlineStr">
        <is>
          <t>Hartwell Cyber Insurance</t>
        </is>
      </c>
      <c r="G108" t="inlineStr">
        <is>
          <t>Hartwell Cyber Insurance - monthly</t>
        </is>
      </c>
      <c r="H108" t="inlineStr">
        <is>
          <t>HAR-202608-461</t>
        </is>
      </c>
      <c r="J108" t="n">
        <v>2210</v>
      </c>
      <c r="K108" t="inlineStr">
        <is>
          <t>AP</t>
        </is>
      </c>
      <c r="L108" t="inlineStr">
        <is>
          <t>system</t>
        </is>
      </c>
      <c r="M108" t="inlineStr"/>
    </row>
    <row r="109">
      <c r="A109" t="inlineStr">
        <is>
          <t>202608-0025</t>
        </is>
      </c>
      <c r="B109" t="inlineStr">
        <is>
          <t>JE-6174</t>
        </is>
      </c>
      <c r="C109" t="inlineStr">
        <is>
          <t>2026-08-15</t>
        </is>
      </c>
      <c r="D109" t="n">
        <v>5000</v>
      </c>
      <c r="E109" t="inlineStr">
        <is>
          <t>Salaries &amp; Wages</t>
        </is>
      </c>
      <c r="F109" t="inlineStr">
        <is>
          <t>ADP</t>
        </is>
      </c>
      <c r="G109" t="inlineStr">
        <is>
          <t>Payroll - semi-monthly</t>
        </is>
      </c>
      <c r="H109" t="inlineStr">
        <is>
          <t>PR</t>
        </is>
      </c>
      <c r="I109" t="n">
        <v>188844.57</v>
      </c>
      <c r="K109" t="inlineStr">
        <is>
          <t>Payroll</t>
        </is>
      </c>
      <c r="L109" t="inlineStr">
        <is>
          <t>system</t>
        </is>
      </c>
      <c r="M109" t="inlineStr"/>
    </row>
    <row r="110">
      <c r="A110" t="inlineStr">
        <is>
          <t>202608-0026</t>
        </is>
      </c>
      <c r="B110" t="inlineStr">
        <is>
          <t>JE-6174</t>
        </is>
      </c>
      <c r="C110" t="inlineStr">
        <is>
          <t>2026-08-15</t>
        </is>
      </c>
      <c r="D110" t="n">
        <v>5100</v>
      </c>
      <c r="E110" t="inlineStr">
        <is>
          <t>Payroll Taxes &amp; Benefits</t>
        </is>
      </c>
      <c r="F110" t="inlineStr">
        <is>
          <t>ADP</t>
        </is>
      </c>
      <c r="G110" t="inlineStr">
        <is>
          <t>Employer taxes &amp; benefits</t>
        </is>
      </c>
      <c r="H110" t="inlineStr">
        <is>
          <t>PR</t>
        </is>
      </c>
      <c r="I110" t="n">
        <v>22283.66</v>
      </c>
      <c r="K110" t="inlineStr">
        <is>
          <t>Payroll</t>
        </is>
      </c>
      <c r="L110" t="inlineStr">
        <is>
          <t>system</t>
        </is>
      </c>
      <c r="M110" t="inlineStr"/>
    </row>
    <row r="111">
      <c r="A111" t="inlineStr">
        <is>
          <t>202608-0027</t>
        </is>
      </c>
      <c r="B111" t="inlineStr">
        <is>
          <t>JE-6174</t>
        </is>
      </c>
      <c r="C111" t="inlineStr">
        <is>
          <t>2026-08-15</t>
        </is>
      </c>
      <c r="D111" t="n">
        <v>1000</v>
      </c>
      <c r="E111" t="inlineStr">
        <is>
          <t>Operating Cash - First Harbor Bank</t>
        </is>
      </c>
      <c r="F111" t="inlineStr">
        <is>
          <t>ADP</t>
        </is>
      </c>
      <c r="G111" t="inlineStr">
        <is>
          <t>Payroll funding</t>
        </is>
      </c>
      <c r="H111" t="inlineStr">
        <is>
          <t>PR</t>
        </is>
      </c>
      <c r="J111" t="n">
        <v>211128.23</v>
      </c>
      <c r="K111" t="inlineStr">
        <is>
          <t>Payroll</t>
        </is>
      </c>
      <c r="L111" t="inlineStr">
        <is>
          <t>system</t>
        </is>
      </c>
      <c r="M111" t="inlineStr"/>
    </row>
    <row r="112">
      <c r="A112" t="inlineStr">
        <is>
          <t>202608-0051</t>
        </is>
      </c>
      <c r="B112" t="inlineStr">
        <is>
          <t>JE-6186</t>
        </is>
      </c>
      <c r="C112" t="inlineStr">
        <is>
          <t>2026-08-17</t>
        </is>
      </c>
      <c r="D112" t="n">
        <v>6100</v>
      </c>
      <c r="E112" t="inlineStr">
        <is>
          <t>Office Supplies</t>
        </is>
      </c>
      <c r="F112" t="inlineStr">
        <is>
          <t>UPS Store 4417</t>
        </is>
      </c>
      <c r="G112" t="inlineStr">
        <is>
          <t>UPS Store 4417 - corporate card</t>
        </is>
      </c>
      <c r="H112" t="inlineStr">
        <is>
          <t>CC-62207</t>
        </is>
      </c>
      <c r="I112" t="n">
        <v>13.6</v>
      </c>
      <c r="K112" t="inlineStr">
        <is>
          <t>Card feed</t>
        </is>
      </c>
      <c r="L112" t="inlineStr">
        <is>
          <t>system</t>
        </is>
      </c>
      <c r="M112" t="inlineStr"/>
    </row>
    <row r="113">
      <c r="A113" t="inlineStr">
        <is>
          <t>202608-0052</t>
        </is>
      </c>
      <c r="B113" t="inlineStr">
        <is>
          <t>JE-6186</t>
        </is>
      </c>
      <c r="C113" t="inlineStr">
        <is>
          <t>2026-08-17</t>
        </is>
      </c>
      <c r="D113" t="n">
        <v>2000</v>
      </c>
      <c r="E113" t="inlineStr">
        <is>
          <t>Accounts Payable</t>
        </is>
      </c>
      <c r="F113" t="inlineStr">
        <is>
          <t>UPS Store 4417</t>
        </is>
      </c>
      <c r="G113" t="inlineStr">
        <is>
          <t>UPS Store 4417 - corporate card</t>
        </is>
      </c>
      <c r="H113" t="inlineStr">
        <is>
          <t>CC-62207</t>
        </is>
      </c>
      <c r="J113" t="n">
        <v>13.6</v>
      </c>
      <c r="K113" t="inlineStr">
        <is>
          <t>Card feed</t>
        </is>
      </c>
      <c r="L113" t="inlineStr">
        <is>
          <t>system</t>
        </is>
      </c>
      <c r="M113" t="inlineStr"/>
    </row>
    <row r="114">
      <c r="A114" t="inlineStr">
        <is>
          <t>202608-0061</t>
        </is>
      </c>
      <c r="B114" t="inlineStr">
        <is>
          <t>JE-6191</t>
        </is>
      </c>
      <c r="C114" t="inlineStr">
        <is>
          <t>2026-08-17</t>
        </is>
      </c>
      <c r="D114" t="n">
        <v>6420</v>
      </c>
      <c r="E114" t="inlineStr">
        <is>
          <t>Software Subscriptions</t>
        </is>
      </c>
      <c r="F114" t="inlineStr">
        <is>
          <t>Zoom Video</t>
        </is>
      </c>
      <c r="G114" t="inlineStr">
        <is>
          <t>Zoom Video - corporate card</t>
        </is>
      </c>
      <c r="H114" t="inlineStr">
        <is>
          <t>CC-68147</t>
        </is>
      </c>
      <c r="I114" t="n">
        <v>61.22</v>
      </c>
      <c r="K114" t="inlineStr">
        <is>
          <t>Card feed</t>
        </is>
      </c>
      <c r="L114" t="inlineStr">
        <is>
          <t>system</t>
        </is>
      </c>
      <c r="M114" t="inlineStr"/>
    </row>
    <row r="115">
      <c r="A115" t="inlineStr">
        <is>
          <t>202608-0062</t>
        </is>
      </c>
      <c r="B115" t="inlineStr">
        <is>
          <t>JE-6191</t>
        </is>
      </c>
      <c r="C115" t="inlineStr">
        <is>
          <t>2026-08-17</t>
        </is>
      </c>
      <c r="D115" t="n">
        <v>2000</v>
      </c>
      <c r="E115" t="inlineStr">
        <is>
          <t>Accounts Payable</t>
        </is>
      </c>
      <c r="F115" t="inlineStr">
        <is>
          <t>Zoom Video</t>
        </is>
      </c>
      <c r="G115" t="inlineStr">
        <is>
          <t>Zoom Video - corporate card</t>
        </is>
      </c>
      <c r="H115" t="inlineStr">
        <is>
          <t>CC-68147</t>
        </is>
      </c>
      <c r="J115" t="n">
        <v>61.22</v>
      </c>
      <c r="K115" t="inlineStr">
        <is>
          <t>Card feed</t>
        </is>
      </c>
      <c r="L115" t="inlineStr">
        <is>
          <t>system</t>
        </is>
      </c>
      <c r="M115" t="inlineStr"/>
    </row>
    <row r="116">
      <c r="A116" t="inlineStr">
        <is>
          <t>202608-0085</t>
        </is>
      </c>
      <c r="B116" t="inlineStr">
        <is>
          <t>JE-6203</t>
        </is>
      </c>
      <c r="C116" t="inlineStr">
        <is>
          <t>2026-08-17</t>
        </is>
      </c>
      <c r="D116" t="n">
        <v>6900</v>
      </c>
      <c r="E116" t="inlineStr">
        <is>
          <t>Travel &amp; Meals</t>
        </is>
      </c>
      <c r="F116" t="inlineStr">
        <is>
          <t>DoorDash for Work</t>
        </is>
      </c>
      <c r="G116" t="inlineStr">
        <is>
          <t>DoorDash for Work - corporate card</t>
        </is>
      </c>
      <c r="H116" t="inlineStr">
        <is>
          <t>CC-58497</t>
        </is>
      </c>
      <c r="I116" t="n">
        <v>135.61</v>
      </c>
      <c r="K116" t="inlineStr">
        <is>
          <t>Card feed</t>
        </is>
      </c>
      <c r="L116" t="inlineStr">
        <is>
          <t>system</t>
        </is>
      </c>
      <c r="M116" t="inlineStr"/>
    </row>
    <row r="117">
      <c r="A117" t="inlineStr">
        <is>
          <t>202608-0086</t>
        </is>
      </c>
      <c r="B117" t="inlineStr">
        <is>
          <t>JE-6203</t>
        </is>
      </c>
      <c r="C117" t="inlineStr">
        <is>
          <t>2026-08-17</t>
        </is>
      </c>
      <c r="D117" t="n">
        <v>2000</v>
      </c>
      <c r="E117" t="inlineStr">
        <is>
          <t>Accounts Payable</t>
        </is>
      </c>
      <c r="F117" t="inlineStr">
        <is>
          <t>DoorDash for Work</t>
        </is>
      </c>
      <c r="G117" t="inlineStr">
        <is>
          <t>DoorDash for Work - corporate card</t>
        </is>
      </c>
      <c r="H117" t="inlineStr">
        <is>
          <t>CC-58497</t>
        </is>
      </c>
      <c r="J117" t="n">
        <v>135.61</v>
      </c>
      <c r="K117" t="inlineStr">
        <is>
          <t>Card feed</t>
        </is>
      </c>
      <c r="L117" t="inlineStr">
        <is>
          <t>system</t>
        </is>
      </c>
      <c r="M117" t="inlineStr"/>
    </row>
    <row r="118">
      <c r="A118" t="inlineStr">
        <is>
          <t>202608-0111</t>
        </is>
      </c>
      <c r="B118" t="inlineStr">
        <is>
          <t>JE-6216</t>
        </is>
      </c>
      <c r="C118" t="inlineStr">
        <is>
          <t>2026-08-17</t>
        </is>
      </c>
      <c r="D118" t="n">
        <v>6420</v>
      </c>
      <c r="E118" t="inlineStr">
        <is>
          <t>Software Subscriptions</t>
        </is>
      </c>
      <c r="F118" t="inlineStr">
        <is>
          <t>Zoom Video</t>
        </is>
      </c>
      <c r="G118" t="inlineStr">
        <is>
          <t>Zoom Video - corporate card</t>
        </is>
      </c>
      <c r="H118" t="inlineStr">
        <is>
          <t>CC-40185</t>
        </is>
      </c>
      <c r="I118" t="n">
        <v>131.86</v>
      </c>
      <c r="K118" t="inlineStr">
        <is>
          <t>Card feed</t>
        </is>
      </c>
      <c r="L118" t="inlineStr">
        <is>
          <t>system</t>
        </is>
      </c>
      <c r="M118" t="inlineStr"/>
    </row>
    <row r="119">
      <c r="A119" t="inlineStr">
        <is>
          <t>202608-0112</t>
        </is>
      </c>
      <c r="B119" t="inlineStr">
        <is>
          <t>JE-6216</t>
        </is>
      </c>
      <c r="C119" t="inlineStr">
        <is>
          <t>2026-08-17</t>
        </is>
      </c>
      <c r="D119" t="n">
        <v>2000</v>
      </c>
      <c r="E119" t="inlineStr">
        <is>
          <t>Accounts Payable</t>
        </is>
      </c>
      <c r="F119" t="inlineStr">
        <is>
          <t>Zoom Video</t>
        </is>
      </c>
      <c r="G119" t="inlineStr">
        <is>
          <t>Zoom Video - corporate card</t>
        </is>
      </c>
      <c r="H119" t="inlineStr">
        <is>
          <t>CC-40185</t>
        </is>
      </c>
      <c r="J119" t="n">
        <v>131.86</v>
      </c>
      <c r="K119" t="inlineStr">
        <is>
          <t>Card feed</t>
        </is>
      </c>
      <c r="L119" t="inlineStr">
        <is>
          <t>system</t>
        </is>
      </c>
      <c r="M119" t="inlineStr"/>
    </row>
    <row r="120">
      <c r="A120" t="inlineStr">
        <is>
          <t>202608-0151</t>
        </is>
      </c>
      <c r="B120" t="inlineStr">
        <is>
          <t>JE-6236</t>
        </is>
      </c>
      <c r="C120" t="inlineStr">
        <is>
          <t>2026-08-17</t>
        </is>
      </c>
      <c r="D120" t="n">
        <v>6420</v>
      </c>
      <c r="E120" t="inlineStr">
        <is>
          <t>Software Subscriptions</t>
        </is>
      </c>
      <c r="F120" t="inlineStr">
        <is>
          <t>Adobe Inc.</t>
        </is>
      </c>
      <c r="G120" t="inlineStr">
        <is>
          <t>Adobe Inc. - corporate card</t>
        </is>
      </c>
      <c r="H120" t="inlineStr">
        <is>
          <t>CC-23216</t>
        </is>
      </c>
      <c r="I120" t="n">
        <v>55</v>
      </c>
      <c r="K120" t="inlineStr">
        <is>
          <t>Card feed</t>
        </is>
      </c>
      <c r="L120" t="inlineStr">
        <is>
          <t>system</t>
        </is>
      </c>
      <c r="M120" t="inlineStr"/>
    </row>
    <row r="121">
      <c r="A121" t="inlineStr">
        <is>
          <t>202608-0152</t>
        </is>
      </c>
      <c r="B121" t="inlineStr">
        <is>
          <t>JE-6236</t>
        </is>
      </c>
      <c r="C121" t="inlineStr">
        <is>
          <t>2026-08-17</t>
        </is>
      </c>
      <c r="D121" t="n">
        <v>2000</v>
      </c>
      <c r="E121" t="inlineStr">
        <is>
          <t>Accounts Payable</t>
        </is>
      </c>
      <c r="F121" t="inlineStr">
        <is>
          <t>Adobe Inc.</t>
        </is>
      </c>
      <c r="G121" t="inlineStr">
        <is>
          <t>Adobe Inc. - corporate card</t>
        </is>
      </c>
      <c r="H121" t="inlineStr">
        <is>
          <t>CC-23216</t>
        </is>
      </c>
      <c r="J121" t="n">
        <v>55</v>
      </c>
      <c r="K121" t="inlineStr">
        <is>
          <t>Card feed</t>
        </is>
      </c>
      <c r="L121" t="inlineStr">
        <is>
          <t>system</t>
        </is>
      </c>
      <c r="M121" t="inlineStr"/>
    </row>
    <row r="122">
      <c r="A122" t="inlineStr">
        <is>
          <t>202608-0141</t>
        </is>
      </c>
      <c r="B122" t="inlineStr">
        <is>
          <t>JE-6231</t>
        </is>
      </c>
      <c r="C122" t="inlineStr">
        <is>
          <t>2026-08-18</t>
        </is>
      </c>
      <c r="D122" t="n">
        <v>6420</v>
      </c>
      <c r="E122" t="inlineStr">
        <is>
          <t>Software Subscriptions</t>
        </is>
      </c>
      <c r="F122" t="inlineStr">
        <is>
          <t>Zoom Video</t>
        </is>
      </c>
      <c r="G122" t="inlineStr">
        <is>
          <t>Zoom Video - corporate card</t>
        </is>
      </c>
      <c r="H122" t="inlineStr">
        <is>
          <t>CC-41779</t>
        </is>
      </c>
      <c r="I122" t="n">
        <v>88.94</v>
      </c>
      <c r="K122" t="inlineStr">
        <is>
          <t>Card feed</t>
        </is>
      </c>
      <c r="L122" t="inlineStr">
        <is>
          <t>system</t>
        </is>
      </c>
      <c r="M122" t="inlineStr"/>
    </row>
    <row r="123">
      <c r="A123" t="inlineStr">
        <is>
          <t>202608-0142</t>
        </is>
      </c>
      <c r="B123" t="inlineStr">
        <is>
          <t>JE-6231</t>
        </is>
      </c>
      <c r="C123" t="inlineStr">
        <is>
          <t>2026-08-18</t>
        </is>
      </c>
      <c r="D123" t="n">
        <v>2000</v>
      </c>
      <c r="E123" t="inlineStr">
        <is>
          <t>Accounts Payable</t>
        </is>
      </c>
      <c r="F123" t="inlineStr">
        <is>
          <t>Zoom Video</t>
        </is>
      </c>
      <c r="G123" t="inlineStr">
        <is>
          <t>Zoom Video - corporate card</t>
        </is>
      </c>
      <c r="H123" t="inlineStr">
        <is>
          <t>CC-41779</t>
        </is>
      </c>
      <c r="J123" t="n">
        <v>88.94</v>
      </c>
      <c r="K123" t="inlineStr">
        <is>
          <t>Card feed</t>
        </is>
      </c>
      <c r="L123" t="inlineStr">
        <is>
          <t>system</t>
        </is>
      </c>
      <c r="M123" t="inlineStr"/>
    </row>
    <row r="124">
      <c r="A124" t="inlineStr">
        <is>
          <t>202608-0161</t>
        </is>
      </c>
      <c r="B124" t="inlineStr">
        <is>
          <t>JE-6241</t>
        </is>
      </c>
      <c r="C124" t="inlineStr">
        <is>
          <t>2026-08-18</t>
        </is>
      </c>
      <c r="D124" t="n">
        <v>6100</v>
      </c>
      <c r="E124" t="inlineStr">
        <is>
          <t>Office Supplies</t>
        </is>
      </c>
      <c r="F124" t="inlineStr">
        <is>
          <t>FedEx</t>
        </is>
      </c>
      <c r="G124" t="inlineStr">
        <is>
          <t>FedEx - corporate card</t>
        </is>
      </c>
      <c r="H124" t="inlineStr">
        <is>
          <t>CC-27418</t>
        </is>
      </c>
      <c r="I124" t="n">
        <v>95.98</v>
      </c>
      <c r="K124" t="inlineStr">
        <is>
          <t>Card feed</t>
        </is>
      </c>
      <c r="L124" t="inlineStr">
        <is>
          <t>system</t>
        </is>
      </c>
      <c r="M124" t="inlineStr"/>
    </row>
    <row r="125">
      <c r="A125" t="inlineStr">
        <is>
          <t>202608-0162</t>
        </is>
      </c>
      <c r="B125" t="inlineStr">
        <is>
          <t>JE-6241</t>
        </is>
      </c>
      <c r="C125" t="inlineStr">
        <is>
          <t>2026-08-18</t>
        </is>
      </c>
      <c r="D125" t="n">
        <v>2000</v>
      </c>
      <c r="E125" t="inlineStr">
        <is>
          <t>Accounts Payable</t>
        </is>
      </c>
      <c r="F125" t="inlineStr">
        <is>
          <t>FedEx</t>
        </is>
      </c>
      <c r="G125" t="inlineStr">
        <is>
          <t>FedEx - corporate card</t>
        </is>
      </c>
      <c r="H125" t="inlineStr">
        <is>
          <t>CC-27418</t>
        </is>
      </c>
      <c r="J125" t="n">
        <v>95.98</v>
      </c>
      <c r="K125" t="inlineStr">
        <is>
          <t>Card feed</t>
        </is>
      </c>
      <c r="L125" t="inlineStr">
        <is>
          <t>system</t>
        </is>
      </c>
      <c r="M125" t="inlineStr"/>
    </row>
    <row r="126">
      <c r="A126" t="inlineStr">
        <is>
          <t>202608-0169</t>
        </is>
      </c>
      <c r="B126" t="inlineStr">
        <is>
          <t>JE-9103</t>
        </is>
      </c>
      <c r="C126" t="inlineStr">
        <is>
          <t>2026-08-18</t>
        </is>
      </c>
      <c r="D126" t="n">
        <v>6200</v>
      </c>
      <c r="E126" t="inlineStr">
        <is>
          <t>Rent &amp; Occupancy</t>
        </is>
      </c>
      <c r="F126" t="inlineStr">
        <is>
          <t>Amazon Web Services</t>
        </is>
      </c>
      <c r="G126" t="inlineStr">
        <is>
          <t>AWS Marketplace - Textract add-on</t>
        </is>
      </c>
      <c r="H126" t="inlineStr">
        <is>
          <t>AWS-MKT-0818</t>
        </is>
      </c>
      <c r="I126" t="n">
        <v>2980</v>
      </c>
      <c r="K126" t="inlineStr">
        <is>
          <t>AP</t>
        </is>
      </c>
      <c r="L126" t="inlineStr">
        <is>
          <t>system</t>
        </is>
      </c>
      <c r="M126" t="inlineStr"/>
    </row>
    <row r="127">
      <c r="A127" t="inlineStr">
        <is>
          <t>202608-0170</t>
        </is>
      </c>
      <c r="B127" t="inlineStr">
        <is>
          <t>JE-9103</t>
        </is>
      </c>
      <c r="C127" t="inlineStr">
        <is>
          <t>2026-08-18</t>
        </is>
      </c>
      <c r="D127" t="n">
        <v>2000</v>
      </c>
      <c r="E127" t="inlineStr">
        <is>
          <t>Accounts Payable</t>
        </is>
      </c>
      <c r="F127" t="inlineStr">
        <is>
          <t>Amazon Web Services</t>
        </is>
      </c>
      <c r="G127" t="inlineStr">
        <is>
          <t>AWS Marketplace - Textract add-on</t>
        </is>
      </c>
      <c r="H127" t="inlineStr">
        <is>
          <t>AWS-MKT-0818</t>
        </is>
      </c>
      <c r="J127" t="n">
        <v>2980</v>
      </c>
      <c r="K127" t="inlineStr">
        <is>
          <t>AP</t>
        </is>
      </c>
      <c r="L127" t="inlineStr">
        <is>
          <t>system</t>
        </is>
      </c>
      <c r="M127" t="inlineStr"/>
    </row>
    <row r="128">
      <c r="A128" t="inlineStr">
        <is>
          <t>202608-0067</t>
        </is>
      </c>
      <c r="B128" t="inlineStr">
        <is>
          <t>JE-6194</t>
        </is>
      </c>
      <c r="C128" t="inlineStr">
        <is>
          <t>2026-08-19</t>
        </is>
      </c>
      <c r="D128" t="n">
        <v>6900</v>
      </c>
      <c r="E128" t="inlineStr">
        <is>
          <t>Travel &amp; Meals</t>
        </is>
      </c>
      <c r="F128" t="inlineStr">
        <is>
          <t>DoorDash for Work</t>
        </is>
      </c>
      <c r="G128" t="inlineStr">
        <is>
          <t>DoorDash for Work - corporate card</t>
        </is>
      </c>
      <c r="H128" t="inlineStr">
        <is>
          <t>CC-14626</t>
        </is>
      </c>
      <c r="I128" t="n">
        <v>87.08</v>
      </c>
      <c r="K128" t="inlineStr">
        <is>
          <t>Card feed</t>
        </is>
      </c>
      <c r="L128" t="inlineStr">
        <is>
          <t>system</t>
        </is>
      </c>
      <c r="M128" t="inlineStr"/>
    </row>
    <row r="129">
      <c r="A129" t="inlineStr">
        <is>
          <t>202608-0068</t>
        </is>
      </c>
      <c r="B129" t="inlineStr">
        <is>
          <t>JE-6194</t>
        </is>
      </c>
      <c r="C129" t="inlineStr">
        <is>
          <t>2026-08-19</t>
        </is>
      </c>
      <c r="D129" t="n">
        <v>2000</v>
      </c>
      <c r="E129" t="inlineStr">
        <is>
          <t>Accounts Payable</t>
        </is>
      </c>
      <c r="F129" t="inlineStr">
        <is>
          <t>DoorDash for Work</t>
        </is>
      </c>
      <c r="G129" t="inlineStr">
        <is>
          <t>DoorDash for Work - corporate card</t>
        </is>
      </c>
      <c r="H129" t="inlineStr">
        <is>
          <t>CC-14626</t>
        </is>
      </c>
      <c r="J129" t="n">
        <v>87.08</v>
      </c>
      <c r="K129" t="inlineStr">
        <is>
          <t>Card feed</t>
        </is>
      </c>
      <c r="L129" t="inlineStr">
        <is>
          <t>system</t>
        </is>
      </c>
      <c r="M129" t="inlineStr"/>
    </row>
    <row r="130">
      <c r="A130" t="inlineStr">
        <is>
          <t>202608-0017</t>
        </is>
      </c>
      <c r="B130" t="inlineStr">
        <is>
          <t>JE-6170</t>
        </is>
      </c>
      <c r="C130" t="inlineStr">
        <is>
          <t>2026-08-20</t>
        </is>
      </c>
      <c r="D130" t="n">
        <v>6500</v>
      </c>
      <c r="E130" t="inlineStr">
        <is>
          <t>Records Storage &amp; Destruction</t>
        </is>
      </c>
      <c r="F130" t="inlineStr">
        <is>
          <t>Shred-Right Inc.</t>
        </is>
      </c>
      <c r="G130" t="inlineStr">
        <is>
          <t>Shred-Right Inc. - monthly</t>
        </is>
      </c>
      <c r="H130" t="inlineStr">
        <is>
          <t>SHR-202608-646</t>
        </is>
      </c>
      <c r="I130" t="n">
        <v>640</v>
      </c>
      <c r="K130" t="inlineStr">
        <is>
          <t>AP</t>
        </is>
      </c>
      <c r="L130" t="inlineStr">
        <is>
          <t>system</t>
        </is>
      </c>
      <c r="M130" t="inlineStr"/>
    </row>
    <row r="131">
      <c r="A131" t="inlineStr">
        <is>
          <t>202608-0018</t>
        </is>
      </c>
      <c r="B131" t="inlineStr">
        <is>
          <t>JE-6170</t>
        </is>
      </c>
      <c r="C131" t="inlineStr">
        <is>
          <t>2026-08-20</t>
        </is>
      </c>
      <c r="D131" t="n">
        <v>2000</v>
      </c>
      <c r="E131" t="inlineStr">
        <is>
          <t>Accounts Payable</t>
        </is>
      </c>
      <c r="F131" t="inlineStr">
        <is>
          <t>Shred-Right Inc.</t>
        </is>
      </c>
      <c r="G131" t="inlineStr">
        <is>
          <t>Shred-Right Inc. - monthly</t>
        </is>
      </c>
      <c r="H131" t="inlineStr">
        <is>
          <t>SHR-202608-646</t>
        </is>
      </c>
      <c r="J131" t="n">
        <v>640</v>
      </c>
      <c r="K131" t="inlineStr">
        <is>
          <t>AP</t>
        </is>
      </c>
      <c r="L131" t="inlineStr">
        <is>
          <t>system</t>
        </is>
      </c>
      <c r="M131" t="inlineStr"/>
    </row>
    <row r="132">
      <c r="A132" t="inlineStr">
        <is>
          <t>202608-0069</t>
        </is>
      </c>
      <c r="B132" t="inlineStr">
        <is>
          <t>JE-6195</t>
        </is>
      </c>
      <c r="C132" t="inlineStr">
        <is>
          <t>2026-08-20</t>
        </is>
      </c>
      <c r="D132" t="n">
        <v>6100</v>
      </c>
      <c r="E132" t="inlineStr">
        <is>
          <t>Office Supplies</t>
        </is>
      </c>
      <c r="F132" t="inlineStr">
        <is>
          <t>Staples Business</t>
        </is>
      </c>
      <c r="G132" t="inlineStr">
        <is>
          <t>Staples Business - corporate card</t>
        </is>
      </c>
      <c r="H132" t="inlineStr">
        <is>
          <t>CC-26913</t>
        </is>
      </c>
      <c r="I132" t="n">
        <v>193.58</v>
      </c>
      <c r="K132" t="inlineStr">
        <is>
          <t>Card feed</t>
        </is>
      </c>
      <c r="L132" t="inlineStr">
        <is>
          <t>system</t>
        </is>
      </c>
      <c r="M132" t="inlineStr"/>
    </row>
    <row r="133">
      <c r="A133" t="inlineStr">
        <is>
          <t>202608-0070</t>
        </is>
      </c>
      <c r="B133" t="inlineStr">
        <is>
          <t>JE-6195</t>
        </is>
      </c>
      <c r="C133" t="inlineStr">
        <is>
          <t>2026-08-20</t>
        </is>
      </c>
      <c r="D133" t="n">
        <v>2000</v>
      </c>
      <c r="E133" t="inlineStr">
        <is>
          <t>Accounts Payable</t>
        </is>
      </c>
      <c r="F133" t="inlineStr">
        <is>
          <t>Staples Business</t>
        </is>
      </c>
      <c r="G133" t="inlineStr">
        <is>
          <t>Staples Business - corporate card</t>
        </is>
      </c>
      <c r="H133" t="inlineStr">
        <is>
          <t>CC-26913</t>
        </is>
      </c>
      <c r="J133" t="n">
        <v>193.58</v>
      </c>
      <c r="K133" t="inlineStr">
        <is>
          <t>Card feed</t>
        </is>
      </c>
      <c r="L133" t="inlineStr">
        <is>
          <t>system</t>
        </is>
      </c>
      <c r="M133" t="inlineStr"/>
    </row>
    <row r="134">
      <c r="A134" t="inlineStr">
        <is>
          <t>202608-0167</t>
        </is>
      </c>
      <c r="B134" t="inlineStr">
        <is>
          <t>JE-9102</t>
        </is>
      </c>
      <c r="C134" t="inlineStr">
        <is>
          <t>2026-08-20</t>
        </is>
      </c>
      <c r="D134" t="n">
        <v>6600</v>
      </c>
      <c r="E134" t="inlineStr">
        <is>
          <t>Professional Fees</t>
        </is>
      </c>
      <c r="F134" t="inlineStr">
        <is>
          <t>Dunmore Legal Advisors</t>
        </is>
      </c>
      <c r="G134" t="inlineStr">
        <is>
          <t>Legal review</t>
        </is>
      </c>
      <c r="H134" t="inlineStr">
        <is>
          <t>DLA-5534</t>
        </is>
      </c>
      <c r="I134" t="n">
        <v>4750</v>
      </c>
      <c r="K134" t="inlineStr">
        <is>
          <t>AP</t>
        </is>
      </c>
      <c r="L134" t="inlineStr">
        <is>
          <t>system</t>
        </is>
      </c>
      <c r="M134" t="inlineStr"/>
    </row>
    <row r="135">
      <c r="A135" t="inlineStr">
        <is>
          <t>202608-0168</t>
        </is>
      </c>
      <c r="B135" t="inlineStr">
        <is>
          <t>JE-9102</t>
        </is>
      </c>
      <c r="C135" t="inlineStr">
        <is>
          <t>2026-08-20</t>
        </is>
      </c>
      <c r="D135" t="n">
        <v>2000</v>
      </c>
      <c r="E135" t="inlineStr">
        <is>
          <t>Accounts Payable</t>
        </is>
      </c>
      <c r="F135" t="inlineStr">
        <is>
          <t>Dunmore Legal Advisors</t>
        </is>
      </c>
      <c r="G135" t="inlineStr">
        <is>
          <t>Legal review</t>
        </is>
      </c>
      <c r="H135" t="inlineStr">
        <is>
          <t>DLA-5534</t>
        </is>
      </c>
      <c r="J135" t="n">
        <v>4750</v>
      </c>
      <c r="K135" t="inlineStr">
        <is>
          <t>AP</t>
        </is>
      </c>
      <c r="L135" t="inlineStr">
        <is>
          <t>system</t>
        </is>
      </c>
      <c r="M135" t="inlineStr"/>
    </row>
    <row r="136">
      <c r="A136" t="inlineStr">
        <is>
          <t>202608-0075</t>
        </is>
      </c>
      <c r="B136" t="inlineStr">
        <is>
          <t>JE-6198</t>
        </is>
      </c>
      <c r="C136" t="inlineStr">
        <is>
          <t>2026-08-21</t>
        </is>
      </c>
      <c r="D136" t="n">
        <v>6420</v>
      </c>
      <c r="E136" t="inlineStr">
        <is>
          <t>Software Subscriptions</t>
        </is>
      </c>
      <c r="F136" t="inlineStr">
        <is>
          <t>Adobe Inc.</t>
        </is>
      </c>
      <c r="G136" t="inlineStr">
        <is>
          <t>Adobe Inc. - corporate card</t>
        </is>
      </c>
      <c r="H136" t="inlineStr">
        <is>
          <t>CC-18782</t>
        </is>
      </c>
      <c r="I136" t="n">
        <v>55</v>
      </c>
      <c r="K136" t="inlineStr">
        <is>
          <t>Card feed</t>
        </is>
      </c>
      <c r="L136" t="inlineStr">
        <is>
          <t>system</t>
        </is>
      </c>
      <c r="M136" t="inlineStr"/>
    </row>
    <row r="137">
      <c r="A137" t="inlineStr">
        <is>
          <t>202608-0076</t>
        </is>
      </c>
      <c r="B137" t="inlineStr">
        <is>
          <t>JE-6198</t>
        </is>
      </c>
      <c r="C137" t="inlineStr">
        <is>
          <t>2026-08-21</t>
        </is>
      </c>
      <c r="D137" t="n">
        <v>2000</v>
      </c>
      <c r="E137" t="inlineStr">
        <is>
          <t>Accounts Payable</t>
        </is>
      </c>
      <c r="F137" t="inlineStr">
        <is>
          <t>Adobe Inc.</t>
        </is>
      </c>
      <c r="G137" t="inlineStr">
        <is>
          <t>Adobe Inc. - corporate card</t>
        </is>
      </c>
      <c r="H137" t="inlineStr">
        <is>
          <t>CC-18782</t>
        </is>
      </c>
      <c r="J137" t="n">
        <v>55</v>
      </c>
      <c r="K137" t="inlineStr">
        <is>
          <t>Card feed</t>
        </is>
      </c>
      <c r="L137" t="inlineStr">
        <is>
          <t>system</t>
        </is>
      </c>
      <c r="M137" t="inlineStr"/>
    </row>
    <row r="138">
      <c r="A138" t="inlineStr">
        <is>
          <t>202608-0173</t>
        </is>
      </c>
      <c r="B138" t="inlineStr">
        <is>
          <t>JE-9105</t>
        </is>
      </c>
      <c r="C138" t="inlineStr">
        <is>
          <t>2026-08-23</t>
        </is>
      </c>
      <c r="D138" t="n">
        <v>6600</v>
      </c>
      <c r="E138" t="inlineStr">
        <is>
          <t>Professional Fees</t>
        </is>
      </c>
      <c r="F138" t="inlineStr"/>
      <c r="G138" t="inlineStr">
        <is>
          <t>Adjustment</t>
        </is>
      </c>
      <c r="H138" t="inlineStr"/>
      <c r="I138" t="n">
        <v>25000</v>
      </c>
      <c r="K138" t="inlineStr">
        <is>
          <t>Manual JE</t>
        </is>
      </c>
      <c r="L138" t="inlineStr">
        <is>
          <t>s.morck</t>
        </is>
      </c>
      <c r="M138" t="inlineStr">
        <is>
          <t>adj per discussion</t>
        </is>
      </c>
    </row>
    <row r="139">
      <c r="A139" t="inlineStr">
        <is>
          <t>202608-0174</t>
        </is>
      </c>
      <c r="B139" t="inlineStr">
        <is>
          <t>JE-9105</t>
        </is>
      </c>
      <c r="C139" t="inlineStr">
        <is>
          <t>2026-08-23</t>
        </is>
      </c>
      <c r="D139" t="n">
        <v>2100</v>
      </c>
      <c r="E139" t="inlineStr">
        <is>
          <t>Accrued Expenses</t>
        </is>
      </c>
      <c r="F139" t="inlineStr"/>
      <c r="G139" t="inlineStr">
        <is>
          <t>Adjustment</t>
        </is>
      </c>
      <c r="H139" t="inlineStr"/>
      <c r="J139" t="n">
        <v>25000</v>
      </c>
      <c r="K139" t="inlineStr">
        <is>
          <t>Manual JE</t>
        </is>
      </c>
      <c r="L139" t="inlineStr">
        <is>
          <t>s.morck</t>
        </is>
      </c>
      <c r="M139" t="inlineStr">
        <is>
          <t>adj per discussion</t>
        </is>
      </c>
    </row>
    <row r="140">
      <c r="A140" t="inlineStr">
        <is>
          <t>202608-0047</t>
        </is>
      </c>
      <c r="B140" t="inlineStr">
        <is>
          <t>JE-6184</t>
        </is>
      </c>
      <c r="C140" t="inlineStr">
        <is>
          <t>2026-08-24</t>
        </is>
      </c>
      <c r="D140" t="n">
        <v>6100</v>
      </c>
      <c r="E140" t="inlineStr">
        <is>
          <t>Office Supplies</t>
        </is>
      </c>
      <c r="F140" t="inlineStr">
        <is>
          <t>Staples Business</t>
        </is>
      </c>
      <c r="G140" t="inlineStr">
        <is>
          <t>Staples Business - corporate card</t>
        </is>
      </c>
      <c r="H140" t="inlineStr">
        <is>
          <t>CC-66623</t>
        </is>
      </c>
      <c r="I140" t="n">
        <v>101.05</v>
      </c>
      <c r="K140" t="inlineStr">
        <is>
          <t>Card feed</t>
        </is>
      </c>
      <c r="L140" t="inlineStr">
        <is>
          <t>system</t>
        </is>
      </c>
      <c r="M140" t="inlineStr"/>
    </row>
    <row r="141">
      <c r="A141" t="inlineStr">
        <is>
          <t>202608-0048</t>
        </is>
      </c>
      <c r="B141" t="inlineStr">
        <is>
          <t>JE-6184</t>
        </is>
      </c>
      <c r="C141" t="inlineStr">
        <is>
          <t>2026-08-24</t>
        </is>
      </c>
      <c r="D141" t="n">
        <v>2000</v>
      </c>
      <c r="E141" t="inlineStr">
        <is>
          <t>Accounts Payable</t>
        </is>
      </c>
      <c r="F141" t="inlineStr">
        <is>
          <t>Staples Business</t>
        </is>
      </c>
      <c r="G141" t="inlineStr">
        <is>
          <t>Staples Business - corporate card</t>
        </is>
      </c>
      <c r="H141" t="inlineStr">
        <is>
          <t>CC-66623</t>
        </is>
      </c>
      <c r="J141" t="n">
        <v>101.05</v>
      </c>
      <c r="K141" t="inlineStr">
        <is>
          <t>Card feed</t>
        </is>
      </c>
      <c r="L141" t="inlineStr">
        <is>
          <t>system</t>
        </is>
      </c>
      <c r="M141" t="inlineStr"/>
    </row>
    <row r="142">
      <c r="A142" t="inlineStr">
        <is>
          <t>202608-0055</t>
        </is>
      </c>
      <c r="B142" t="inlineStr">
        <is>
          <t>JE-6188</t>
        </is>
      </c>
      <c r="C142" t="inlineStr">
        <is>
          <t>2026-08-24</t>
        </is>
      </c>
      <c r="D142" t="n">
        <v>6100</v>
      </c>
      <c r="E142" t="inlineStr">
        <is>
          <t>Office Supplies</t>
        </is>
      </c>
      <c r="F142" t="inlineStr">
        <is>
          <t>Staples Business</t>
        </is>
      </c>
      <c r="G142" t="inlineStr">
        <is>
          <t>Staples Business - corporate card</t>
        </is>
      </c>
      <c r="H142" t="inlineStr">
        <is>
          <t>CC-98666</t>
        </is>
      </c>
      <c r="I142" t="n">
        <v>280.96</v>
      </c>
      <c r="K142" t="inlineStr">
        <is>
          <t>Card feed</t>
        </is>
      </c>
      <c r="L142" t="inlineStr">
        <is>
          <t>system</t>
        </is>
      </c>
      <c r="M142" t="inlineStr"/>
    </row>
    <row r="143">
      <c r="A143" t="inlineStr">
        <is>
          <t>202608-0056</t>
        </is>
      </c>
      <c r="B143" t="inlineStr">
        <is>
          <t>JE-6188</t>
        </is>
      </c>
      <c r="C143" t="inlineStr">
        <is>
          <t>2026-08-24</t>
        </is>
      </c>
      <c r="D143" t="n">
        <v>2000</v>
      </c>
      <c r="E143" t="inlineStr">
        <is>
          <t>Accounts Payable</t>
        </is>
      </c>
      <c r="F143" t="inlineStr">
        <is>
          <t>Staples Business</t>
        </is>
      </c>
      <c r="G143" t="inlineStr">
        <is>
          <t>Staples Business - corporate card</t>
        </is>
      </c>
      <c r="H143" t="inlineStr">
        <is>
          <t>CC-98666</t>
        </is>
      </c>
      <c r="J143" t="n">
        <v>280.96</v>
      </c>
      <c r="K143" t="inlineStr">
        <is>
          <t>Card feed</t>
        </is>
      </c>
      <c r="L143" t="inlineStr">
        <is>
          <t>system</t>
        </is>
      </c>
      <c r="M143" t="inlineStr"/>
    </row>
    <row r="144">
      <c r="A144" t="inlineStr">
        <is>
          <t>202608-0057</t>
        </is>
      </c>
      <c r="B144" t="inlineStr">
        <is>
          <t>JE-6189</t>
        </is>
      </c>
      <c r="C144" t="inlineStr">
        <is>
          <t>2026-08-24</t>
        </is>
      </c>
      <c r="D144" t="n">
        <v>6100</v>
      </c>
      <c r="E144" t="inlineStr">
        <is>
          <t>Office Supplies</t>
        </is>
      </c>
      <c r="F144" t="inlineStr">
        <is>
          <t>Staples Business</t>
        </is>
      </c>
      <c r="G144" t="inlineStr">
        <is>
          <t>Staples Business - corporate card</t>
        </is>
      </c>
      <c r="H144" t="inlineStr">
        <is>
          <t>CC-46326</t>
        </is>
      </c>
      <c r="I144" t="n">
        <v>246.64</v>
      </c>
      <c r="K144" t="inlineStr">
        <is>
          <t>Card feed</t>
        </is>
      </c>
      <c r="L144" t="inlineStr">
        <is>
          <t>system</t>
        </is>
      </c>
      <c r="M144" t="inlineStr"/>
    </row>
    <row r="145">
      <c r="A145" t="inlineStr">
        <is>
          <t>202608-0058</t>
        </is>
      </c>
      <c r="B145" t="inlineStr">
        <is>
          <t>JE-6189</t>
        </is>
      </c>
      <c r="C145" t="inlineStr">
        <is>
          <t>2026-08-24</t>
        </is>
      </c>
      <c r="D145" t="n">
        <v>2000</v>
      </c>
      <c r="E145" t="inlineStr">
        <is>
          <t>Accounts Payable</t>
        </is>
      </c>
      <c r="F145" t="inlineStr">
        <is>
          <t>Staples Business</t>
        </is>
      </c>
      <c r="G145" t="inlineStr">
        <is>
          <t>Staples Business - corporate card</t>
        </is>
      </c>
      <c r="H145" t="inlineStr">
        <is>
          <t>CC-46326</t>
        </is>
      </c>
      <c r="J145" t="n">
        <v>246.64</v>
      </c>
      <c r="K145" t="inlineStr">
        <is>
          <t>Card feed</t>
        </is>
      </c>
      <c r="L145" t="inlineStr">
        <is>
          <t>system</t>
        </is>
      </c>
      <c r="M145" t="inlineStr"/>
    </row>
    <row r="146">
      <c r="A146" t="inlineStr">
        <is>
          <t>202608-0077</t>
        </is>
      </c>
      <c r="B146" t="inlineStr">
        <is>
          <t>JE-6199</t>
        </is>
      </c>
      <c r="C146" t="inlineStr">
        <is>
          <t>2026-08-24</t>
        </is>
      </c>
      <c r="D146" t="n">
        <v>6900</v>
      </c>
      <c r="E146" t="inlineStr">
        <is>
          <t>Travel &amp; Meals</t>
        </is>
      </c>
      <c r="F146" t="inlineStr">
        <is>
          <t>Delta Air Lines</t>
        </is>
      </c>
      <c r="G146" t="inlineStr">
        <is>
          <t>Delta Air Lines - corporate card</t>
        </is>
      </c>
      <c r="H146" t="inlineStr">
        <is>
          <t>CC-70836</t>
        </is>
      </c>
      <c r="I146" t="n">
        <v>403.57</v>
      </c>
      <c r="K146" t="inlineStr">
        <is>
          <t>Card feed</t>
        </is>
      </c>
      <c r="L146" t="inlineStr">
        <is>
          <t>system</t>
        </is>
      </c>
      <c r="M146" t="inlineStr"/>
    </row>
    <row r="147">
      <c r="A147" t="inlineStr">
        <is>
          <t>202608-0078</t>
        </is>
      </c>
      <c r="B147" t="inlineStr">
        <is>
          <t>JE-6199</t>
        </is>
      </c>
      <c r="C147" t="inlineStr">
        <is>
          <t>2026-08-24</t>
        </is>
      </c>
      <c r="D147" t="n">
        <v>2000</v>
      </c>
      <c r="E147" t="inlineStr">
        <is>
          <t>Accounts Payable</t>
        </is>
      </c>
      <c r="F147" t="inlineStr">
        <is>
          <t>Delta Air Lines</t>
        </is>
      </c>
      <c r="G147" t="inlineStr">
        <is>
          <t>Delta Air Lines - corporate card</t>
        </is>
      </c>
      <c r="H147" t="inlineStr">
        <is>
          <t>CC-70836</t>
        </is>
      </c>
      <c r="J147" t="n">
        <v>403.57</v>
      </c>
      <c r="K147" t="inlineStr">
        <is>
          <t>Card feed</t>
        </is>
      </c>
      <c r="L147" t="inlineStr">
        <is>
          <t>system</t>
        </is>
      </c>
      <c r="M147" t="inlineStr"/>
    </row>
    <row r="148">
      <c r="A148" t="inlineStr">
        <is>
          <t>202608-0101</t>
        </is>
      </c>
      <c r="B148" t="inlineStr">
        <is>
          <t>JE-6211</t>
        </is>
      </c>
      <c r="C148" t="inlineStr">
        <is>
          <t>2026-08-24</t>
        </is>
      </c>
      <c r="D148" t="n">
        <v>6420</v>
      </c>
      <c r="E148" t="inlineStr">
        <is>
          <t>Software Subscriptions</t>
        </is>
      </c>
      <c r="F148" t="inlineStr">
        <is>
          <t>Zoom Video</t>
        </is>
      </c>
      <c r="G148" t="inlineStr">
        <is>
          <t>Zoom Video - corporate card</t>
        </is>
      </c>
      <c r="H148" t="inlineStr">
        <is>
          <t>CC-51448</t>
        </is>
      </c>
      <c r="I148" t="n">
        <v>93.03</v>
      </c>
      <c r="K148" t="inlineStr">
        <is>
          <t>Card feed</t>
        </is>
      </c>
      <c r="L148" t="inlineStr">
        <is>
          <t>system</t>
        </is>
      </c>
      <c r="M148" t="inlineStr"/>
    </row>
    <row r="149">
      <c r="A149" t="inlineStr">
        <is>
          <t>202608-0102</t>
        </is>
      </c>
      <c r="B149" t="inlineStr">
        <is>
          <t>JE-6211</t>
        </is>
      </c>
      <c r="C149" t="inlineStr">
        <is>
          <t>2026-08-24</t>
        </is>
      </c>
      <c r="D149" t="n">
        <v>2000</v>
      </c>
      <c r="E149" t="inlineStr">
        <is>
          <t>Accounts Payable</t>
        </is>
      </c>
      <c r="F149" t="inlineStr">
        <is>
          <t>Zoom Video</t>
        </is>
      </c>
      <c r="G149" t="inlineStr">
        <is>
          <t>Zoom Video - corporate card</t>
        </is>
      </c>
      <c r="H149" t="inlineStr">
        <is>
          <t>CC-51448</t>
        </is>
      </c>
      <c r="J149" t="n">
        <v>93.03</v>
      </c>
      <c r="K149" t="inlineStr">
        <is>
          <t>Card feed</t>
        </is>
      </c>
      <c r="L149" t="inlineStr">
        <is>
          <t>system</t>
        </is>
      </c>
      <c r="M149" t="inlineStr"/>
    </row>
    <row r="150">
      <c r="A150" t="inlineStr">
        <is>
          <t>202608-0113</t>
        </is>
      </c>
      <c r="B150" t="inlineStr">
        <is>
          <t>JE-6217</t>
        </is>
      </c>
      <c r="C150" t="inlineStr">
        <is>
          <t>2026-08-24</t>
        </is>
      </c>
      <c r="D150" t="n">
        <v>6420</v>
      </c>
      <c r="E150" t="inlineStr">
        <is>
          <t>Software Subscriptions</t>
        </is>
      </c>
      <c r="F150" t="inlineStr">
        <is>
          <t>Zoom Video</t>
        </is>
      </c>
      <c r="G150" t="inlineStr">
        <is>
          <t>Zoom Video - corporate card</t>
        </is>
      </c>
      <c r="H150" t="inlineStr">
        <is>
          <t>CC-85501</t>
        </is>
      </c>
      <c r="I150" t="n">
        <v>75.97</v>
      </c>
      <c r="K150" t="inlineStr">
        <is>
          <t>Card feed</t>
        </is>
      </c>
      <c r="L150" t="inlineStr">
        <is>
          <t>system</t>
        </is>
      </c>
      <c r="M150" t="inlineStr"/>
    </row>
    <row r="151">
      <c r="A151" t="inlineStr">
        <is>
          <t>202608-0114</t>
        </is>
      </c>
      <c r="B151" t="inlineStr">
        <is>
          <t>JE-6217</t>
        </is>
      </c>
      <c r="C151" t="inlineStr">
        <is>
          <t>2026-08-24</t>
        </is>
      </c>
      <c r="D151" t="n">
        <v>2000</v>
      </c>
      <c r="E151" t="inlineStr">
        <is>
          <t>Accounts Payable</t>
        </is>
      </c>
      <c r="F151" t="inlineStr">
        <is>
          <t>Zoom Video</t>
        </is>
      </c>
      <c r="G151" t="inlineStr">
        <is>
          <t>Zoom Video - corporate card</t>
        </is>
      </c>
      <c r="H151" t="inlineStr">
        <is>
          <t>CC-85501</t>
        </is>
      </c>
      <c r="J151" t="n">
        <v>75.97</v>
      </c>
      <c r="K151" t="inlineStr">
        <is>
          <t>Card feed</t>
        </is>
      </c>
      <c r="L151" t="inlineStr">
        <is>
          <t>system</t>
        </is>
      </c>
      <c r="M151" t="inlineStr"/>
    </row>
    <row r="152">
      <c r="A152" t="inlineStr">
        <is>
          <t>202608-0115</t>
        </is>
      </c>
      <c r="B152" t="inlineStr">
        <is>
          <t>JE-6218</t>
        </is>
      </c>
      <c r="C152" t="inlineStr">
        <is>
          <t>2026-08-24</t>
        </is>
      </c>
      <c r="D152" t="n">
        <v>6100</v>
      </c>
      <c r="E152" t="inlineStr">
        <is>
          <t>Office Supplies</t>
        </is>
      </c>
      <c r="F152" t="inlineStr">
        <is>
          <t>Staples Business</t>
        </is>
      </c>
      <c r="G152" t="inlineStr">
        <is>
          <t>Staples Business - corporate card</t>
        </is>
      </c>
      <c r="H152" t="inlineStr">
        <is>
          <t>CC-96789</t>
        </is>
      </c>
      <c r="I152" t="n">
        <v>119.62</v>
      </c>
      <c r="K152" t="inlineStr">
        <is>
          <t>Card feed</t>
        </is>
      </c>
      <c r="L152" t="inlineStr">
        <is>
          <t>system</t>
        </is>
      </c>
      <c r="M152" t="inlineStr"/>
    </row>
    <row r="153">
      <c r="A153" t="inlineStr">
        <is>
          <t>202608-0116</t>
        </is>
      </c>
      <c r="B153" t="inlineStr">
        <is>
          <t>JE-6218</t>
        </is>
      </c>
      <c r="C153" t="inlineStr">
        <is>
          <t>2026-08-24</t>
        </is>
      </c>
      <c r="D153" t="n">
        <v>2000</v>
      </c>
      <c r="E153" t="inlineStr">
        <is>
          <t>Accounts Payable</t>
        </is>
      </c>
      <c r="F153" t="inlineStr">
        <is>
          <t>Staples Business</t>
        </is>
      </c>
      <c r="G153" t="inlineStr">
        <is>
          <t>Staples Business - corporate card</t>
        </is>
      </c>
      <c r="H153" t="inlineStr">
        <is>
          <t>CC-96789</t>
        </is>
      </c>
      <c r="J153" t="n">
        <v>119.62</v>
      </c>
      <c r="K153" t="inlineStr">
        <is>
          <t>Card feed</t>
        </is>
      </c>
      <c r="L153" t="inlineStr">
        <is>
          <t>system</t>
        </is>
      </c>
      <c r="M153" t="inlineStr"/>
    </row>
    <row r="154">
      <c r="A154" t="inlineStr">
        <is>
          <t>202608-0127</t>
        </is>
      </c>
      <c r="B154" t="inlineStr">
        <is>
          <t>JE-6224</t>
        </is>
      </c>
      <c r="C154" t="inlineStr">
        <is>
          <t>2026-08-24</t>
        </is>
      </c>
      <c r="D154" t="n">
        <v>6100</v>
      </c>
      <c r="E154" t="inlineStr">
        <is>
          <t>Office Supplies</t>
        </is>
      </c>
      <c r="F154" t="inlineStr">
        <is>
          <t>FedEx</t>
        </is>
      </c>
      <c r="G154" t="inlineStr">
        <is>
          <t>FedEx - corporate card</t>
        </is>
      </c>
      <c r="H154" t="inlineStr">
        <is>
          <t>CC-27245</t>
        </is>
      </c>
      <c r="I154" t="n">
        <v>125.82</v>
      </c>
      <c r="K154" t="inlineStr">
        <is>
          <t>Card feed</t>
        </is>
      </c>
      <c r="L154" t="inlineStr">
        <is>
          <t>system</t>
        </is>
      </c>
      <c r="M154" t="inlineStr"/>
    </row>
    <row r="155">
      <c r="A155" t="inlineStr">
        <is>
          <t>202608-0128</t>
        </is>
      </c>
      <c r="B155" t="inlineStr">
        <is>
          <t>JE-6224</t>
        </is>
      </c>
      <c r="C155" t="inlineStr">
        <is>
          <t>2026-08-24</t>
        </is>
      </c>
      <c r="D155" t="n">
        <v>2000</v>
      </c>
      <c r="E155" t="inlineStr">
        <is>
          <t>Accounts Payable</t>
        </is>
      </c>
      <c r="F155" t="inlineStr">
        <is>
          <t>FedEx</t>
        </is>
      </c>
      <c r="G155" t="inlineStr">
        <is>
          <t>FedEx - corporate card</t>
        </is>
      </c>
      <c r="H155" t="inlineStr">
        <is>
          <t>CC-27245</t>
        </is>
      </c>
      <c r="J155" t="n">
        <v>125.82</v>
      </c>
      <c r="K155" t="inlineStr">
        <is>
          <t>Card feed</t>
        </is>
      </c>
      <c r="L155" t="inlineStr">
        <is>
          <t>system</t>
        </is>
      </c>
      <c r="M155" t="inlineStr"/>
    </row>
    <row r="156">
      <c r="A156" t="inlineStr">
        <is>
          <t>202608-0023</t>
        </is>
      </c>
      <c r="B156" t="inlineStr">
        <is>
          <t>JE-6173</t>
        </is>
      </c>
      <c r="C156" t="inlineStr">
        <is>
          <t>2026-08-25</t>
        </is>
      </c>
      <c r="D156" t="n">
        <v>6600</v>
      </c>
      <c r="E156" t="inlineStr">
        <is>
          <t>Professional Fees</t>
        </is>
      </c>
      <c r="F156" t="inlineStr">
        <is>
          <t>Kemper &amp; Lau CPAs</t>
        </is>
      </c>
      <c r="G156" t="inlineStr">
        <is>
          <t>Kemper &amp; Lau CPAs - monthly</t>
        </is>
      </c>
      <c r="H156" t="inlineStr">
        <is>
          <t>KEM-202608-784</t>
        </is>
      </c>
      <c r="I156" t="n">
        <v>3500</v>
      </c>
      <c r="K156" t="inlineStr">
        <is>
          <t>AP</t>
        </is>
      </c>
      <c r="L156" t="inlineStr">
        <is>
          <t>system</t>
        </is>
      </c>
      <c r="M156" t="inlineStr"/>
    </row>
    <row r="157">
      <c r="A157" t="inlineStr">
        <is>
          <t>202608-0024</t>
        </is>
      </c>
      <c r="B157" t="inlineStr">
        <is>
          <t>JE-6173</t>
        </is>
      </c>
      <c r="C157" t="inlineStr">
        <is>
          <t>2026-08-25</t>
        </is>
      </c>
      <c r="D157" t="n">
        <v>2000</v>
      </c>
      <c r="E157" t="inlineStr">
        <is>
          <t>Accounts Payable</t>
        </is>
      </c>
      <c r="F157" t="inlineStr">
        <is>
          <t>Kemper &amp; Lau CPAs</t>
        </is>
      </c>
      <c r="G157" t="inlineStr">
        <is>
          <t>Kemper &amp; Lau CPAs - monthly</t>
        </is>
      </c>
      <c r="H157" t="inlineStr">
        <is>
          <t>KEM-202608-784</t>
        </is>
      </c>
      <c r="J157" t="n">
        <v>3500</v>
      </c>
      <c r="K157" t="inlineStr">
        <is>
          <t>AP</t>
        </is>
      </c>
      <c r="L157" t="inlineStr">
        <is>
          <t>system</t>
        </is>
      </c>
      <c r="M157" t="inlineStr"/>
    </row>
    <row r="158">
      <c r="A158" t="inlineStr">
        <is>
          <t>202608-0143</t>
        </is>
      </c>
      <c r="B158" t="inlineStr">
        <is>
          <t>JE-6232</t>
        </is>
      </c>
      <c r="C158" t="inlineStr">
        <is>
          <t>2026-08-25</t>
        </is>
      </c>
      <c r="D158" t="n">
        <v>6900</v>
      </c>
      <c r="E158" t="inlineStr">
        <is>
          <t>Travel &amp; Meals</t>
        </is>
      </c>
      <c r="F158" t="inlineStr">
        <is>
          <t>Grubhub Corporate</t>
        </is>
      </c>
      <c r="G158" t="inlineStr">
        <is>
          <t>Grubhub Corporate - corporate card</t>
        </is>
      </c>
      <c r="H158" t="inlineStr">
        <is>
          <t>CC-12880</t>
        </is>
      </c>
      <c r="I158" t="n">
        <v>160.28</v>
      </c>
      <c r="K158" t="inlineStr">
        <is>
          <t>Card feed</t>
        </is>
      </c>
      <c r="L158" t="inlineStr">
        <is>
          <t>system</t>
        </is>
      </c>
      <c r="M158" t="inlineStr"/>
    </row>
    <row r="159">
      <c r="A159" t="inlineStr">
        <is>
          <t>202608-0144</t>
        </is>
      </c>
      <c r="B159" t="inlineStr">
        <is>
          <t>JE-6232</t>
        </is>
      </c>
      <c r="C159" t="inlineStr">
        <is>
          <t>2026-08-25</t>
        </is>
      </c>
      <c r="D159" t="n">
        <v>2000</v>
      </c>
      <c r="E159" t="inlineStr">
        <is>
          <t>Accounts Payable</t>
        </is>
      </c>
      <c r="F159" t="inlineStr">
        <is>
          <t>Grubhub Corporate</t>
        </is>
      </c>
      <c r="G159" t="inlineStr">
        <is>
          <t>Grubhub Corporate - corporate card</t>
        </is>
      </c>
      <c r="H159" t="inlineStr">
        <is>
          <t>CC-12880</t>
        </is>
      </c>
      <c r="J159" t="n">
        <v>160.28</v>
      </c>
      <c r="K159" t="inlineStr">
        <is>
          <t>Card feed</t>
        </is>
      </c>
      <c r="L159" t="inlineStr">
        <is>
          <t>system</t>
        </is>
      </c>
      <c r="M159" t="inlineStr"/>
    </row>
    <row r="160">
      <c r="A160" t="inlineStr">
        <is>
          <t>202608-0149</t>
        </is>
      </c>
      <c r="B160" t="inlineStr">
        <is>
          <t>JE-6235</t>
        </is>
      </c>
      <c r="C160" t="inlineStr">
        <is>
          <t>2026-08-25</t>
        </is>
      </c>
      <c r="D160" t="n">
        <v>6900</v>
      </c>
      <c r="E160" t="inlineStr">
        <is>
          <t>Travel &amp; Meals</t>
        </is>
      </c>
      <c r="F160" t="inlineStr">
        <is>
          <t>Hilton Garden Inn</t>
        </is>
      </c>
      <c r="G160" t="inlineStr">
        <is>
          <t>Hilton Garden Inn - corporate card</t>
        </is>
      </c>
      <c r="H160" t="inlineStr">
        <is>
          <t>CC-17927</t>
        </is>
      </c>
      <c r="I160" t="n">
        <v>350.57</v>
      </c>
      <c r="K160" t="inlineStr">
        <is>
          <t>Card feed</t>
        </is>
      </c>
      <c r="L160" t="inlineStr">
        <is>
          <t>system</t>
        </is>
      </c>
      <c r="M160" t="inlineStr"/>
    </row>
    <row r="161">
      <c r="A161" t="inlineStr">
        <is>
          <t>202608-0150</t>
        </is>
      </c>
      <c r="B161" t="inlineStr">
        <is>
          <t>JE-6235</t>
        </is>
      </c>
      <c r="C161" t="inlineStr">
        <is>
          <t>2026-08-25</t>
        </is>
      </c>
      <c r="D161" t="n">
        <v>2000</v>
      </c>
      <c r="E161" t="inlineStr">
        <is>
          <t>Accounts Payable</t>
        </is>
      </c>
      <c r="F161" t="inlineStr">
        <is>
          <t>Hilton Garden Inn</t>
        </is>
      </c>
      <c r="G161" t="inlineStr">
        <is>
          <t>Hilton Garden Inn - corporate card</t>
        </is>
      </c>
      <c r="H161" t="inlineStr">
        <is>
          <t>CC-17927</t>
        </is>
      </c>
      <c r="J161" t="n">
        <v>350.57</v>
      </c>
      <c r="K161" t="inlineStr">
        <is>
          <t>Card feed</t>
        </is>
      </c>
      <c r="L161" t="inlineStr">
        <is>
          <t>system</t>
        </is>
      </c>
      <c r="M161" t="inlineStr"/>
    </row>
    <row r="162">
      <c r="A162" t="inlineStr">
        <is>
          <t>202608-0073</t>
        </is>
      </c>
      <c r="B162" t="inlineStr">
        <is>
          <t>JE-6197</t>
        </is>
      </c>
      <c r="C162" t="inlineStr">
        <is>
          <t>2026-08-26</t>
        </is>
      </c>
      <c r="D162" t="n">
        <v>6420</v>
      </c>
      <c r="E162" t="inlineStr">
        <is>
          <t>Software Subscriptions</t>
        </is>
      </c>
      <c r="F162" t="inlineStr">
        <is>
          <t>Adobe Inc.</t>
        </is>
      </c>
      <c r="G162" t="inlineStr">
        <is>
          <t>Adobe Inc. - corporate card</t>
        </is>
      </c>
      <c r="H162" t="inlineStr">
        <is>
          <t>CC-46374</t>
        </is>
      </c>
      <c r="I162" t="n">
        <v>55</v>
      </c>
      <c r="K162" t="inlineStr">
        <is>
          <t>Card feed</t>
        </is>
      </c>
      <c r="L162" t="inlineStr">
        <is>
          <t>system</t>
        </is>
      </c>
      <c r="M162" t="inlineStr"/>
    </row>
    <row r="163">
      <c r="A163" t="inlineStr">
        <is>
          <t>202608-0074</t>
        </is>
      </c>
      <c r="B163" t="inlineStr">
        <is>
          <t>JE-6197</t>
        </is>
      </c>
      <c r="C163" t="inlineStr">
        <is>
          <t>2026-08-26</t>
        </is>
      </c>
      <c r="D163" t="n">
        <v>2000</v>
      </c>
      <c r="E163" t="inlineStr">
        <is>
          <t>Accounts Payable</t>
        </is>
      </c>
      <c r="F163" t="inlineStr">
        <is>
          <t>Adobe Inc.</t>
        </is>
      </c>
      <c r="G163" t="inlineStr">
        <is>
          <t>Adobe Inc. - corporate card</t>
        </is>
      </c>
      <c r="H163" t="inlineStr">
        <is>
          <t>CC-46374</t>
        </is>
      </c>
      <c r="J163" t="n">
        <v>55</v>
      </c>
      <c r="K163" t="inlineStr">
        <is>
          <t>Card feed</t>
        </is>
      </c>
      <c r="L163" t="inlineStr">
        <is>
          <t>system</t>
        </is>
      </c>
      <c r="M163" t="inlineStr"/>
    </row>
    <row r="164">
      <c r="A164" t="inlineStr">
        <is>
          <t>202608-0089</t>
        </is>
      </c>
      <c r="B164" t="inlineStr">
        <is>
          <t>JE-6205</t>
        </is>
      </c>
      <c r="C164" t="inlineStr">
        <is>
          <t>2026-08-27</t>
        </is>
      </c>
      <c r="D164" t="n">
        <v>6900</v>
      </c>
      <c r="E164" t="inlineStr">
        <is>
          <t>Travel &amp; Meals</t>
        </is>
      </c>
      <c r="F164" t="inlineStr">
        <is>
          <t>DoorDash for Work</t>
        </is>
      </c>
      <c r="G164" t="inlineStr">
        <is>
          <t>DoorDash for Work - corporate card</t>
        </is>
      </c>
      <c r="H164" t="inlineStr">
        <is>
          <t>CC-23620</t>
        </is>
      </c>
      <c r="I164" t="n">
        <v>136.96</v>
      </c>
      <c r="K164" t="inlineStr">
        <is>
          <t>Card feed</t>
        </is>
      </c>
      <c r="L164" t="inlineStr">
        <is>
          <t>system</t>
        </is>
      </c>
      <c r="M164" t="inlineStr"/>
    </row>
    <row r="165">
      <c r="A165" t="inlineStr">
        <is>
          <t>202608-0090</t>
        </is>
      </c>
      <c r="B165" t="inlineStr">
        <is>
          <t>JE-6205</t>
        </is>
      </c>
      <c r="C165" t="inlineStr">
        <is>
          <t>2026-08-27</t>
        </is>
      </c>
      <c r="D165" t="n">
        <v>2000</v>
      </c>
      <c r="E165" t="inlineStr">
        <is>
          <t>Accounts Payable</t>
        </is>
      </c>
      <c r="F165" t="inlineStr">
        <is>
          <t>DoorDash for Work</t>
        </is>
      </c>
      <c r="G165" t="inlineStr">
        <is>
          <t>DoorDash for Work - corporate card</t>
        </is>
      </c>
      <c r="H165" t="inlineStr">
        <is>
          <t>CC-23620</t>
        </is>
      </c>
      <c r="J165" t="n">
        <v>136.96</v>
      </c>
      <c r="K165" t="inlineStr">
        <is>
          <t>Card feed</t>
        </is>
      </c>
      <c r="L165" t="inlineStr">
        <is>
          <t>system</t>
        </is>
      </c>
      <c r="M165" t="inlineStr"/>
    </row>
    <row r="166">
      <c r="A166" t="inlineStr">
        <is>
          <t>202608-0135</t>
        </is>
      </c>
      <c r="B166" t="inlineStr">
        <is>
          <t>JE-6228</t>
        </is>
      </c>
      <c r="C166" t="inlineStr">
        <is>
          <t>2026-08-27</t>
        </is>
      </c>
      <c r="D166" t="n">
        <v>6420</v>
      </c>
      <c r="E166" t="inlineStr">
        <is>
          <t>Software Subscriptions</t>
        </is>
      </c>
      <c r="F166" t="inlineStr">
        <is>
          <t>Zoom Video</t>
        </is>
      </c>
      <c r="G166" t="inlineStr">
        <is>
          <t>Zoom Video - corporate card</t>
        </is>
      </c>
      <c r="H166" t="inlineStr">
        <is>
          <t>CC-71358</t>
        </is>
      </c>
      <c r="I166" t="n">
        <v>16.24</v>
      </c>
      <c r="K166" t="inlineStr">
        <is>
          <t>Card feed</t>
        </is>
      </c>
      <c r="L166" t="inlineStr">
        <is>
          <t>system</t>
        </is>
      </c>
      <c r="M166" t="inlineStr"/>
    </row>
    <row r="167">
      <c r="A167" t="inlineStr">
        <is>
          <t>202608-0136</t>
        </is>
      </c>
      <c r="B167" t="inlineStr">
        <is>
          <t>JE-6228</t>
        </is>
      </c>
      <c r="C167" t="inlineStr">
        <is>
          <t>2026-08-27</t>
        </is>
      </c>
      <c r="D167" t="n">
        <v>2000</v>
      </c>
      <c r="E167" t="inlineStr">
        <is>
          <t>Accounts Payable</t>
        </is>
      </c>
      <c r="F167" t="inlineStr">
        <is>
          <t>Zoom Video</t>
        </is>
      </c>
      <c r="G167" t="inlineStr">
        <is>
          <t>Zoom Video - corporate card</t>
        </is>
      </c>
      <c r="H167" t="inlineStr">
        <is>
          <t>CC-71358</t>
        </is>
      </c>
      <c r="J167" t="n">
        <v>16.24</v>
      </c>
      <c r="K167" t="inlineStr">
        <is>
          <t>Card feed</t>
        </is>
      </c>
      <c r="L167" t="inlineStr">
        <is>
          <t>system</t>
        </is>
      </c>
      <c r="M167" t="inlineStr"/>
    </row>
    <row r="168">
      <c r="A168" t="inlineStr">
        <is>
          <t>202608-0147</t>
        </is>
      </c>
      <c r="B168" t="inlineStr">
        <is>
          <t>JE-6234</t>
        </is>
      </c>
      <c r="C168" t="inlineStr">
        <is>
          <t>2026-08-27</t>
        </is>
      </c>
      <c r="D168" t="n">
        <v>6100</v>
      </c>
      <c r="E168" t="inlineStr">
        <is>
          <t>Office Supplies</t>
        </is>
      </c>
      <c r="F168" t="inlineStr">
        <is>
          <t>UPS Store 4417</t>
        </is>
      </c>
      <c r="G168" t="inlineStr">
        <is>
          <t>UPS Store 4417 - corporate card</t>
        </is>
      </c>
      <c r="H168" t="inlineStr">
        <is>
          <t>CC-14229</t>
        </is>
      </c>
      <c r="I168" t="n">
        <v>47.39</v>
      </c>
      <c r="K168" t="inlineStr">
        <is>
          <t>Card feed</t>
        </is>
      </c>
      <c r="L168" t="inlineStr">
        <is>
          <t>system</t>
        </is>
      </c>
      <c r="M168" t="inlineStr"/>
    </row>
    <row r="169">
      <c r="A169" t="inlineStr">
        <is>
          <t>202608-0148</t>
        </is>
      </c>
      <c r="B169" t="inlineStr">
        <is>
          <t>JE-6234</t>
        </is>
      </c>
      <c r="C169" t="inlineStr">
        <is>
          <t>2026-08-27</t>
        </is>
      </c>
      <c r="D169" t="n">
        <v>2000</v>
      </c>
      <c r="E169" t="inlineStr">
        <is>
          <t>Accounts Payable</t>
        </is>
      </c>
      <c r="F169" t="inlineStr">
        <is>
          <t>UPS Store 4417</t>
        </is>
      </c>
      <c r="G169" t="inlineStr">
        <is>
          <t>UPS Store 4417 - corporate card</t>
        </is>
      </c>
      <c r="H169" t="inlineStr">
        <is>
          <t>CC-14229</t>
        </is>
      </c>
      <c r="J169" t="n">
        <v>47.39</v>
      </c>
      <c r="K169" t="inlineStr">
        <is>
          <t>Card feed</t>
        </is>
      </c>
      <c r="L169" t="inlineStr">
        <is>
          <t>system</t>
        </is>
      </c>
      <c r="M169" t="inlineStr"/>
    </row>
    <row r="170">
      <c r="A170" t="inlineStr">
        <is>
          <t>202608-0028</t>
        </is>
      </c>
      <c r="B170" t="inlineStr">
        <is>
          <t>JE-6175</t>
        </is>
      </c>
      <c r="C170" t="inlineStr">
        <is>
          <t>2026-08-28</t>
        </is>
      </c>
      <c r="D170" t="n">
        <v>5000</v>
      </c>
      <c r="E170" t="inlineStr">
        <is>
          <t>Salaries &amp; Wages</t>
        </is>
      </c>
      <c r="F170" t="inlineStr">
        <is>
          <t>ADP</t>
        </is>
      </c>
      <c r="G170" t="inlineStr">
        <is>
          <t>Payroll - semi-monthly</t>
        </is>
      </c>
      <c r="H170" t="inlineStr">
        <is>
          <t>PR</t>
        </is>
      </c>
      <c r="I170" t="n">
        <v>188056.23</v>
      </c>
      <c r="K170" t="inlineStr">
        <is>
          <t>Payroll</t>
        </is>
      </c>
      <c r="L170" t="inlineStr">
        <is>
          <t>system</t>
        </is>
      </c>
      <c r="M170" t="inlineStr"/>
    </row>
    <row r="171">
      <c r="A171" t="inlineStr">
        <is>
          <t>202608-0029</t>
        </is>
      </c>
      <c r="B171" t="inlineStr">
        <is>
          <t>JE-6175</t>
        </is>
      </c>
      <c r="C171" t="inlineStr">
        <is>
          <t>2026-08-28</t>
        </is>
      </c>
      <c r="D171" t="n">
        <v>5100</v>
      </c>
      <c r="E171" t="inlineStr">
        <is>
          <t>Payroll Taxes &amp; Benefits</t>
        </is>
      </c>
      <c r="F171" t="inlineStr">
        <is>
          <t>ADP</t>
        </is>
      </c>
      <c r="G171" t="inlineStr">
        <is>
          <t>Employer taxes &amp; benefits</t>
        </is>
      </c>
      <c r="H171" t="inlineStr">
        <is>
          <t>PR</t>
        </is>
      </c>
      <c r="I171" t="n">
        <v>22190.64</v>
      </c>
      <c r="K171" t="inlineStr">
        <is>
          <t>Payroll</t>
        </is>
      </c>
      <c r="L171" t="inlineStr">
        <is>
          <t>system</t>
        </is>
      </c>
      <c r="M171" t="inlineStr"/>
    </row>
    <row r="172">
      <c r="A172" t="inlineStr">
        <is>
          <t>202608-0030</t>
        </is>
      </c>
      <c r="B172" t="inlineStr">
        <is>
          <t>JE-6175</t>
        </is>
      </c>
      <c r="C172" t="inlineStr">
        <is>
          <t>2026-08-28</t>
        </is>
      </c>
      <c r="D172" t="n">
        <v>1000</v>
      </c>
      <c r="E172" t="inlineStr">
        <is>
          <t>Operating Cash - First Harbor Bank</t>
        </is>
      </c>
      <c r="F172" t="inlineStr">
        <is>
          <t>ADP</t>
        </is>
      </c>
      <c r="G172" t="inlineStr">
        <is>
          <t>Payroll funding</t>
        </is>
      </c>
      <c r="H172" t="inlineStr">
        <is>
          <t>PR</t>
        </is>
      </c>
      <c r="J172" t="n">
        <v>210246.87</v>
      </c>
      <c r="K172" t="inlineStr">
        <is>
          <t>Payroll</t>
        </is>
      </c>
      <c r="L172" t="inlineStr">
        <is>
          <t>system</t>
        </is>
      </c>
      <c r="M172" t="inlineStr"/>
    </row>
    <row r="173">
      <c r="A173" t="inlineStr">
        <is>
          <t>202608-0163</t>
        </is>
      </c>
      <c r="B173" t="inlineStr">
        <is>
          <t>JE-6242</t>
        </is>
      </c>
      <c r="C173" t="inlineStr">
        <is>
          <t>2026-08-28</t>
        </is>
      </c>
      <c r="D173" t="n">
        <v>1000</v>
      </c>
      <c r="E173" t="inlineStr">
        <is>
          <t>Operating Cash - First Harbor Bank</t>
        </is>
      </c>
      <c r="F173" t="inlineStr">
        <is>
          <t>Portal</t>
        </is>
      </c>
      <c r="G173" t="inlineStr">
        <is>
          <t>Requestor copy fees collected</t>
        </is>
      </c>
      <c r="H173" t="inlineStr">
        <is>
          <t>DEP</t>
        </is>
      </c>
      <c r="I173" t="n">
        <v>41990.26</v>
      </c>
      <c r="K173" t="inlineStr">
        <is>
          <t>Cash receipts</t>
        </is>
      </c>
      <c r="L173" t="inlineStr">
        <is>
          <t>system</t>
        </is>
      </c>
      <c r="M173" t="inlineStr"/>
    </row>
    <row r="174">
      <c r="A174" t="inlineStr">
        <is>
          <t>202608-0164</t>
        </is>
      </c>
      <c r="B174" t="inlineStr">
        <is>
          <t>JE-6242</t>
        </is>
      </c>
      <c r="C174" t="inlineStr">
        <is>
          <t>2026-08-28</t>
        </is>
      </c>
      <c r="D174" t="n">
        <v>4100</v>
      </c>
      <c r="E174" t="inlineStr">
        <is>
          <t>Copy Fee Revenue - Requestors</t>
        </is>
      </c>
      <c r="F174" t="inlineStr">
        <is>
          <t>Portal</t>
        </is>
      </c>
      <c r="G174" t="inlineStr">
        <is>
          <t>Requestor copy fees collected</t>
        </is>
      </c>
      <c r="H174" t="inlineStr">
        <is>
          <t>DEP</t>
        </is>
      </c>
      <c r="J174" t="n">
        <v>41990.26</v>
      </c>
      <c r="K174" t="inlineStr">
        <is>
          <t>Cash receipts</t>
        </is>
      </c>
      <c r="L174" t="inlineStr">
        <is>
          <t>system</t>
        </is>
      </c>
      <c r="M174" t="inlineStr"/>
    </row>
    <row r="175">
      <c r="A175" t="inlineStr">
        <is>
          <t>202608-0171</t>
        </is>
      </c>
      <c r="B175" t="inlineStr">
        <is>
          <t>JE-9104</t>
        </is>
      </c>
      <c r="C175" t="inlineStr">
        <is>
          <t>2026-08-31</t>
        </is>
      </c>
      <c r="D175" t="n">
        <v>1400</v>
      </c>
      <c r="E175" t="inlineStr">
        <is>
          <t>Prepaid Expenses</t>
        </is>
      </c>
      <c r="F175" t="inlineStr"/>
      <c r="G175" t="inlineStr">
        <is>
          <t>Reclass annual E&amp;O renewal to prepaid</t>
        </is>
      </c>
      <c r="H175" t="inlineStr">
        <is>
          <t>RECLASS</t>
        </is>
      </c>
      <c r="I175" t="n">
        <v>12450</v>
      </c>
      <c r="K175" t="inlineStr">
        <is>
          <t>Manual JE</t>
        </is>
      </c>
      <c r="L175" t="inlineStr">
        <is>
          <t>c.iacangelo</t>
        </is>
      </c>
      <c r="M175" t="inlineStr"/>
    </row>
    <row r="176">
      <c r="A176" t="inlineStr">
        <is>
          <t>202608-0172</t>
        </is>
      </c>
      <c r="B176" t="inlineStr">
        <is>
          <t>JE-9104</t>
        </is>
      </c>
      <c r="C176" t="inlineStr">
        <is>
          <t>2026-08-31</t>
        </is>
      </c>
      <c r="D176" t="n">
        <v>6700</v>
      </c>
      <c r="E176" t="inlineStr">
        <is>
          <t>Insurance</t>
        </is>
      </c>
      <c r="F176" t="inlineStr"/>
      <c r="G176" t="inlineStr">
        <is>
          <t>Reclass annual E&amp;O renewal to prepaid</t>
        </is>
      </c>
      <c r="H176" t="inlineStr">
        <is>
          <t>RECLASS</t>
        </is>
      </c>
      <c r="J176" t="n">
        <v>12405</v>
      </c>
      <c r="K176" t="inlineStr">
        <is>
          <t>Manual JE</t>
        </is>
      </c>
      <c r="L176" t="inlineStr">
        <is>
          <t>c.iacangelo</t>
        </is>
      </c>
      <c r="M176" t="inlineStr"/>
    </row>
    <row r="177">
      <c r="A177" t="inlineStr">
        <is>
          <t>202608-0175</t>
        </is>
      </c>
      <c r="B177" t="inlineStr">
        <is>
          <t>JE-9106</t>
        </is>
      </c>
      <c r="C177" t="inlineStr">
        <is>
          <t>2026-08-31</t>
        </is>
      </c>
      <c r="D177" t="n">
        <v>6420</v>
      </c>
      <c r="E177" t="inlineStr">
        <is>
          <t>Software Subscriptions</t>
        </is>
      </c>
      <c r="F177" t="inlineStr"/>
      <c r="G177" t="inlineStr">
        <is>
          <t>Amortize prepaid annual Adobe license</t>
        </is>
      </c>
      <c r="H177" t="inlineStr">
        <is>
          <t>AMORT</t>
        </is>
      </c>
      <c r="I177" t="n">
        <v>410</v>
      </c>
      <c r="K177" t="inlineStr">
        <is>
          <t>Manual JE</t>
        </is>
      </c>
      <c r="L177" t="inlineStr">
        <is>
          <t>c.iacangelo</t>
        </is>
      </c>
      <c r="M177" t="inlineStr">
        <is>
          <t>1/12 of $4,920 annual</t>
        </is>
      </c>
    </row>
    <row r="178">
      <c r="A178" t="inlineStr">
        <is>
          <t>202608-0176</t>
        </is>
      </c>
      <c r="B178" t="inlineStr">
        <is>
          <t>JE-9106</t>
        </is>
      </c>
      <c r="C178" t="inlineStr">
        <is>
          <t>2026-08-31</t>
        </is>
      </c>
      <c r="D178" t="n">
        <v>1400</v>
      </c>
      <c r="E178" t="inlineStr">
        <is>
          <t>Prepaid Expenses</t>
        </is>
      </c>
      <c r="F178" t="inlineStr"/>
      <c r="G178" t="inlineStr">
        <is>
          <t>Amortize prepaid annual Adobe license</t>
        </is>
      </c>
      <c r="H178" t="inlineStr">
        <is>
          <t>AMORT</t>
        </is>
      </c>
      <c r="J178" t="n">
        <v>410</v>
      </c>
      <c r="K178" t="inlineStr">
        <is>
          <t>Manual JE</t>
        </is>
      </c>
      <c r="L178" t="inlineStr">
        <is>
          <t>c.iacangelo</t>
        </is>
      </c>
      <c r="M178" t="inlineStr">
        <is>
          <t>1/12 of $4,920 annual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8" customWidth="1" min="4" max="4"/>
    <col width="26" customWidth="1" min="5" max="5"/>
    <col width="26" customWidth="1" min="6" max="6"/>
    <col width="34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>
      <c r="A1" s="1" t="inlineStr">
        <is>
          <t>entry_id</t>
        </is>
      </c>
      <c r="B1" s="1" t="inlineStr">
        <is>
          <t>journal_ref</t>
        </is>
      </c>
      <c r="C1" s="1" t="inlineStr">
        <is>
          <t>date</t>
        </is>
      </c>
      <c r="D1" s="1" t="inlineStr">
        <is>
          <t>account</t>
        </is>
      </c>
      <c r="E1" s="1" t="inlineStr">
        <is>
          <t>account_name</t>
        </is>
      </c>
      <c r="F1" s="1" t="inlineStr">
        <is>
          <t>vendor_or_customer</t>
        </is>
      </c>
      <c r="G1" s="1" t="inlineStr">
        <is>
          <t>description</t>
        </is>
      </c>
      <c r="H1" s="1" t="inlineStr">
        <is>
          <t>reference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source</t>
        </is>
      </c>
      <c r="L1" s="1" t="inlineStr">
        <is>
          <t>entered_by</t>
        </is>
      </c>
      <c r="M1" s="1" t="inlineStr">
        <is>
          <t>memo</t>
        </is>
      </c>
    </row>
    <row r="2"/>
    <row r="3">
      <c r="A3" t="inlineStr">
        <is>
          <t>202607-0005</t>
        </is>
      </c>
      <c r="B3" t="inlineStr">
        <is>
          <t>JE-6082</t>
        </is>
      </c>
      <c r="C3" t="inlineStr">
        <is>
          <t>2026-07-01</t>
        </is>
      </c>
      <c r="D3" t="n">
        <v>6420</v>
      </c>
      <c r="E3" t="inlineStr">
        <is>
          <t>Software Subscriptions</t>
        </is>
      </c>
      <c r="F3" t="inlineStr">
        <is>
          <t>Microsoft 365 Business</t>
        </is>
      </c>
      <c r="G3" t="inlineStr">
        <is>
          <t>Microsoft 365 Business - monthly</t>
        </is>
      </c>
      <c r="H3" t="inlineStr">
        <is>
          <t>MIC-202607-353</t>
        </is>
      </c>
      <c r="I3" t="n">
        <v>2380</v>
      </c>
      <c r="K3" t="inlineStr">
        <is>
          <t>AP</t>
        </is>
      </c>
      <c r="L3" t="inlineStr">
        <is>
          <t>system</t>
        </is>
      </c>
      <c r="M3" t="inlineStr"/>
    </row>
    <row r="4">
      <c r="A4" t="inlineStr">
        <is>
          <t>202607-0006</t>
        </is>
      </c>
      <c r="B4" t="inlineStr">
        <is>
          <t>JE-6082</t>
        </is>
      </c>
      <c r="C4" t="inlineStr">
        <is>
          <t>2026-07-01</t>
        </is>
      </c>
      <c r="D4" t="n">
        <v>2000</v>
      </c>
      <c r="E4" t="inlineStr">
        <is>
          <t>Accounts Payable</t>
        </is>
      </c>
      <c r="F4" t="inlineStr">
        <is>
          <t>Microsoft 365 Business</t>
        </is>
      </c>
      <c r="G4" t="inlineStr">
        <is>
          <t>Microsoft 365 Business - monthly</t>
        </is>
      </c>
      <c r="H4" t="inlineStr">
        <is>
          <t>MIC-202607-353</t>
        </is>
      </c>
      <c r="J4" t="n">
        <v>2380</v>
      </c>
      <c r="K4" t="inlineStr">
        <is>
          <t>AP</t>
        </is>
      </c>
      <c r="L4" t="inlineStr">
        <is>
          <t>system</t>
        </is>
      </c>
      <c r="M4" t="inlineStr"/>
    </row>
    <row r="5">
      <c r="A5" t="inlineStr">
        <is>
          <t>202607-0007</t>
        </is>
      </c>
      <c r="B5" t="inlineStr">
        <is>
          <t>JE-6083</t>
        </is>
      </c>
      <c r="C5" t="inlineStr">
        <is>
          <t>2026-07-01</t>
        </is>
      </c>
      <c r="D5" t="n">
        <v>6420</v>
      </c>
      <c r="E5" t="inlineStr">
        <is>
          <t>Software Subscriptions</t>
        </is>
      </c>
      <c r="F5" t="inlineStr">
        <is>
          <t>HubSpot Inc.</t>
        </is>
      </c>
      <c r="G5" t="inlineStr">
        <is>
          <t>HubSpot Inc. - monthly</t>
        </is>
      </c>
      <c r="H5" t="inlineStr">
        <is>
          <t>HUB-202607-395</t>
        </is>
      </c>
      <c r="I5" t="n">
        <v>3150</v>
      </c>
      <c r="K5" t="inlineStr">
        <is>
          <t>AP</t>
        </is>
      </c>
      <c r="L5" t="inlineStr">
        <is>
          <t>system</t>
        </is>
      </c>
      <c r="M5" t="inlineStr"/>
    </row>
    <row r="6">
      <c r="A6" t="inlineStr">
        <is>
          <t>202607-0008</t>
        </is>
      </c>
      <c r="B6" t="inlineStr">
        <is>
          <t>JE-6083</t>
        </is>
      </c>
      <c r="C6" t="inlineStr">
        <is>
          <t>2026-07-01</t>
        </is>
      </c>
      <c r="D6" t="n">
        <v>2000</v>
      </c>
      <c r="E6" t="inlineStr">
        <is>
          <t>Accounts Payable</t>
        </is>
      </c>
      <c r="F6" t="inlineStr">
        <is>
          <t>HubSpot Inc.</t>
        </is>
      </c>
      <c r="G6" t="inlineStr">
        <is>
          <t>HubSpot Inc. - monthly</t>
        </is>
      </c>
      <c r="H6" t="inlineStr">
        <is>
          <t>HUB-202607-395</t>
        </is>
      </c>
      <c r="J6" t="n">
        <v>3150</v>
      </c>
      <c r="K6" t="inlineStr">
        <is>
          <t>AP</t>
        </is>
      </c>
      <c r="L6" t="inlineStr">
        <is>
          <t>system</t>
        </is>
      </c>
      <c r="M6" t="inlineStr"/>
    </row>
    <row r="7">
      <c r="A7" t="inlineStr">
        <is>
          <t>202607-0015</t>
        </is>
      </c>
      <c r="B7" t="inlineStr">
        <is>
          <t>JE-6087</t>
        </is>
      </c>
      <c r="C7" t="inlineStr">
        <is>
          <t>2026-07-01</t>
        </is>
      </c>
      <c r="D7" t="n">
        <v>6200</v>
      </c>
      <c r="E7" t="inlineStr">
        <is>
          <t>Rent &amp; Occupancy</t>
        </is>
      </c>
      <c r="F7" t="inlineStr">
        <is>
          <t>Marconi Realty LLC</t>
        </is>
      </c>
      <c r="G7" t="inlineStr">
        <is>
          <t>Marconi Realty LLC - monthly</t>
        </is>
      </c>
      <c r="H7" t="inlineStr">
        <is>
          <t>MAR-202607-479</t>
        </is>
      </c>
      <c r="I7" t="n">
        <v>18500</v>
      </c>
      <c r="K7" t="inlineStr">
        <is>
          <t>AP</t>
        </is>
      </c>
      <c r="L7" t="inlineStr">
        <is>
          <t>system</t>
        </is>
      </c>
      <c r="M7" t="inlineStr"/>
    </row>
    <row r="8">
      <c r="A8" t="inlineStr">
        <is>
          <t>202607-0016</t>
        </is>
      </c>
      <c r="B8" t="inlineStr">
        <is>
          <t>JE-6087</t>
        </is>
      </c>
      <c r="C8" t="inlineStr">
        <is>
          <t>2026-07-01</t>
        </is>
      </c>
      <c r="D8" t="n">
        <v>2000</v>
      </c>
      <c r="E8" t="inlineStr">
        <is>
          <t>Accounts Payable</t>
        </is>
      </c>
      <c r="F8" t="inlineStr">
        <is>
          <t>Marconi Realty LLC</t>
        </is>
      </c>
      <c r="G8" t="inlineStr">
        <is>
          <t>Marconi Realty LLC - monthly</t>
        </is>
      </c>
      <c r="H8" t="inlineStr">
        <is>
          <t>MAR-202607-479</t>
        </is>
      </c>
      <c r="J8" t="n">
        <v>18500</v>
      </c>
      <c r="K8" t="inlineStr">
        <is>
          <t>AP</t>
        </is>
      </c>
      <c r="L8" t="inlineStr">
        <is>
          <t>system</t>
        </is>
      </c>
      <c r="M8" t="inlineStr"/>
    </row>
    <row r="9">
      <c r="A9" t="inlineStr">
        <is>
          <t>202607-0031</t>
        </is>
      </c>
      <c r="B9" t="inlineStr">
        <is>
          <t>JE-6094</t>
        </is>
      </c>
      <c r="C9" t="inlineStr">
        <is>
          <t>2026-07-01</t>
        </is>
      </c>
      <c r="D9" t="n">
        <v>1100</v>
      </c>
      <c r="E9" t="inlineStr">
        <is>
          <t>Accounts Receivable - Carriers</t>
        </is>
      </c>
      <c r="F9" t="inlineStr">
        <is>
          <t>Harborline Mutual Insurance</t>
        </is>
      </c>
      <c r="G9" t="inlineStr">
        <is>
          <t>Monthly service fee - Harborline Mutual Insurance</t>
        </is>
      </c>
      <c r="H9" t="inlineStr">
        <is>
          <t>AR</t>
        </is>
      </c>
      <c r="I9" t="n">
        <v>8615.48</v>
      </c>
      <c r="K9" t="inlineStr">
        <is>
          <t>AR</t>
        </is>
      </c>
      <c r="L9" t="inlineStr">
        <is>
          <t>system</t>
        </is>
      </c>
      <c r="M9" t="inlineStr"/>
    </row>
    <row r="10">
      <c r="A10" t="inlineStr">
        <is>
          <t>202607-0032</t>
        </is>
      </c>
      <c r="B10" t="inlineStr">
        <is>
          <t>JE-6094</t>
        </is>
      </c>
      <c r="C10" t="inlineStr">
        <is>
          <t>2026-07-01</t>
        </is>
      </c>
      <c r="D10" t="n">
        <v>4000</v>
      </c>
      <c r="E10" t="inlineStr">
        <is>
          <t>Service Revenue - Carriers</t>
        </is>
      </c>
      <c r="F10" t="inlineStr">
        <is>
          <t>Harborline Mutual Insurance</t>
        </is>
      </c>
      <c r="G10" t="inlineStr">
        <is>
          <t>Monthly service fee - Harborline Mutual Insurance</t>
        </is>
      </c>
      <c r="H10" t="inlineStr">
        <is>
          <t>AR</t>
        </is>
      </c>
      <c r="J10" t="n">
        <v>8615.48</v>
      </c>
      <c r="K10" t="inlineStr">
        <is>
          <t>AR</t>
        </is>
      </c>
      <c r="L10" t="inlineStr">
        <is>
          <t>system</t>
        </is>
      </c>
      <c r="M10" t="inlineStr"/>
    </row>
    <row r="11">
      <c r="A11" t="inlineStr">
        <is>
          <t>202607-0033</t>
        </is>
      </c>
      <c r="B11" t="inlineStr">
        <is>
          <t>JE-6095</t>
        </is>
      </c>
      <c r="C11" t="inlineStr">
        <is>
          <t>2026-07-01</t>
        </is>
      </c>
      <c r="D11" t="n">
        <v>1100</v>
      </c>
      <c r="E11" t="inlineStr">
        <is>
          <t>Accounts Receivable - Carriers</t>
        </is>
      </c>
      <c r="F11" t="inlineStr">
        <is>
          <t>Granite Shield Insurance</t>
        </is>
      </c>
      <c r="G11" t="inlineStr">
        <is>
          <t>Monthly service fee - Granite Shield Insurance</t>
        </is>
      </c>
      <c r="H11" t="inlineStr">
        <is>
          <t>AR</t>
        </is>
      </c>
      <c r="I11" t="n">
        <v>6504.43</v>
      </c>
      <c r="K11" t="inlineStr">
        <is>
          <t>AR</t>
        </is>
      </c>
      <c r="L11" t="inlineStr">
        <is>
          <t>system</t>
        </is>
      </c>
      <c r="M11" t="inlineStr"/>
    </row>
    <row r="12">
      <c r="A12" t="inlineStr">
        <is>
          <t>202607-0034</t>
        </is>
      </c>
      <c r="B12" t="inlineStr">
        <is>
          <t>JE-6095</t>
        </is>
      </c>
      <c r="C12" t="inlineStr">
        <is>
          <t>2026-07-01</t>
        </is>
      </c>
      <c r="D12" t="n">
        <v>4000</v>
      </c>
      <c r="E12" t="inlineStr">
        <is>
          <t>Service Revenue - Carriers</t>
        </is>
      </c>
      <c r="F12" t="inlineStr">
        <is>
          <t>Granite Shield Insurance</t>
        </is>
      </c>
      <c r="G12" t="inlineStr">
        <is>
          <t>Monthly service fee - Granite Shield Insurance</t>
        </is>
      </c>
      <c r="H12" t="inlineStr">
        <is>
          <t>AR</t>
        </is>
      </c>
      <c r="J12" t="n">
        <v>6504.43</v>
      </c>
      <c r="K12" t="inlineStr">
        <is>
          <t>AR</t>
        </is>
      </c>
      <c r="L12" t="inlineStr">
        <is>
          <t>system</t>
        </is>
      </c>
      <c r="M12" t="inlineStr"/>
    </row>
    <row r="13">
      <c r="A13" t="inlineStr">
        <is>
          <t>202607-0035</t>
        </is>
      </c>
      <c r="B13" t="inlineStr">
        <is>
          <t>JE-6096</t>
        </is>
      </c>
      <c r="C13" t="inlineStr">
        <is>
          <t>2026-07-01</t>
        </is>
      </c>
      <c r="D13" t="n">
        <v>1100</v>
      </c>
      <c r="E13" t="inlineStr">
        <is>
          <t>Accounts Receivable - Carriers</t>
        </is>
      </c>
      <c r="F13" t="inlineStr">
        <is>
          <t>Keystone Auto Group</t>
        </is>
      </c>
      <c r="G13" t="inlineStr">
        <is>
          <t>Monthly service fee - Keystone Auto Group</t>
        </is>
      </c>
      <c r="H13" t="inlineStr">
        <is>
          <t>AR</t>
        </is>
      </c>
      <c r="I13" t="n">
        <v>5579.08</v>
      </c>
      <c r="K13" t="inlineStr">
        <is>
          <t>AR</t>
        </is>
      </c>
      <c r="L13" t="inlineStr">
        <is>
          <t>system</t>
        </is>
      </c>
      <c r="M13" t="inlineStr"/>
    </row>
    <row r="14">
      <c r="A14" t="inlineStr">
        <is>
          <t>202607-0036</t>
        </is>
      </c>
      <c r="B14" t="inlineStr">
        <is>
          <t>JE-6096</t>
        </is>
      </c>
      <c r="C14" t="inlineStr">
        <is>
          <t>2026-07-01</t>
        </is>
      </c>
      <c r="D14" t="n">
        <v>4000</v>
      </c>
      <c r="E14" t="inlineStr">
        <is>
          <t>Service Revenue - Carriers</t>
        </is>
      </c>
      <c r="F14" t="inlineStr">
        <is>
          <t>Keystone Auto Group</t>
        </is>
      </c>
      <c r="G14" t="inlineStr">
        <is>
          <t>Monthly service fee - Keystone Auto Group</t>
        </is>
      </c>
      <c r="H14" t="inlineStr">
        <is>
          <t>AR</t>
        </is>
      </c>
      <c r="J14" t="n">
        <v>5579.08</v>
      </c>
      <c r="K14" t="inlineStr">
        <is>
          <t>AR</t>
        </is>
      </c>
      <c r="L14" t="inlineStr">
        <is>
          <t>system</t>
        </is>
      </c>
      <c r="M14" t="inlineStr"/>
    </row>
    <row r="15">
      <c r="A15" t="inlineStr">
        <is>
          <t>202607-0037</t>
        </is>
      </c>
      <c r="B15" t="inlineStr">
        <is>
          <t>JE-6097</t>
        </is>
      </c>
      <c r="C15" t="inlineStr">
        <is>
          <t>2026-07-01</t>
        </is>
      </c>
      <c r="D15" t="n">
        <v>1100</v>
      </c>
      <c r="E15" t="inlineStr">
        <is>
          <t>Accounts Receivable - Carriers</t>
        </is>
      </c>
      <c r="F15" t="inlineStr">
        <is>
          <t>Tri-County Workers' Comp Fund</t>
        </is>
      </c>
      <c r="G15" t="inlineStr">
        <is>
          <t>Monthly service fee - Tri-County Workers' Comp Fund</t>
        </is>
      </c>
      <c r="H15" t="inlineStr">
        <is>
          <t>AR</t>
        </is>
      </c>
      <c r="I15" t="n">
        <v>4061.99</v>
      </c>
      <c r="K15" t="inlineStr">
        <is>
          <t>AR</t>
        </is>
      </c>
      <c r="L15" t="inlineStr">
        <is>
          <t>system</t>
        </is>
      </c>
      <c r="M15" t="inlineStr"/>
    </row>
    <row r="16">
      <c r="A16" t="inlineStr">
        <is>
          <t>202607-0038</t>
        </is>
      </c>
      <c r="B16" t="inlineStr">
        <is>
          <t>JE-6097</t>
        </is>
      </c>
      <c r="C16" t="inlineStr">
        <is>
          <t>2026-07-01</t>
        </is>
      </c>
      <c r="D16" t="n">
        <v>4000</v>
      </c>
      <c r="E16" t="inlineStr">
        <is>
          <t>Service Revenue - Carriers</t>
        </is>
      </c>
      <c r="F16" t="inlineStr">
        <is>
          <t>Tri-County Workers' Comp Fund</t>
        </is>
      </c>
      <c r="G16" t="inlineStr">
        <is>
          <t>Monthly service fee - Tri-County Workers' Comp Fund</t>
        </is>
      </c>
      <c r="H16" t="inlineStr">
        <is>
          <t>AR</t>
        </is>
      </c>
      <c r="J16" t="n">
        <v>4061.99</v>
      </c>
      <c r="K16" t="inlineStr">
        <is>
          <t>AR</t>
        </is>
      </c>
      <c r="L16" t="inlineStr">
        <is>
          <t>system</t>
        </is>
      </c>
      <c r="M16" t="inlineStr"/>
    </row>
    <row r="17">
      <c r="A17" t="inlineStr">
        <is>
          <t>202607-0039</t>
        </is>
      </c>
      <c r="B17" t="inlineStr">
        <is>
          <t>JE-6098</t>
        </is>
      </c>
      <c r="C17" t="inlineStr">
        <is>
          <t>2026-07-01</t>
        </is>
      </c>
      <c r="D17" t="n">
        <v>1100</v>
      </c>
      <c r="E17" t="inlineStr">
        <is>
          <t>Accounts Receivable - Carriers</t>
        </is>
      </c>
      <c r="F17" t="inlineStr">
        <is>
          <t>Beacon Casualty Company</t>
        </is>
      </c>
      <c r="G17" t="inlineStr">
        <is>
          <t>Monthly service fee - Beacon Casualty Company</t>
        </is>
      </c>
      <c r="H17" t="inlineStr">
        <is>
          <t>AR</t>
        </is>
      </c>
      <c r="I17" t="n">
        <v>4643.73</v>
      </c>
      <c r="K17" t="inlineStr">
        <is>
          <t>AR</t>
        </is>
      </c>
      <c r="L17" t="inlineStr">
        <is>
          <t>system</t>
        </is>
      </c>
      <c r="M17" t="inlineStr"/>
    </row>
    <row r="18">
      <c r="A18" t="inlineStr">
        <is>
          <t>202607-0040</t>
        </is>
      </c>
      <c r="B18" t="inlineStr">
        <is>
          <t>JE-6098</t>
        </is>
      </c>
      <c r="C18" t="inlineStr">
        <is>
          <t>2026-07-01</t>
        </is>
      </c>
      <c r="D18" t="n">
        <v>4000</v>
      </c>
      <c r="E18" t="inlineStr">
        <is>
          <t>Service Revenue - Carriers</t>
        </is>
      </c>
      <c r="F18" t="inlineStr">
        <is>
          <t>Beacon Casualty Company</t>
        </is>
      </c>
      <c r="G18" t="inlineStr">
        <is>
          <t>Monthly service fee - Beacon Casualty Company</t>
        </is>
      </c>
      <c r="H18" t="inlineStr">
        <is>
          <t>AR</t>
        </is>
      </c>
      <c r="J18" t="n">
        <v>4643.73</v>
      </c>
      <c r="K18" t="inlineStr">
        <is>
          <t>AR</t>
        </is>
      </c>
      <c r="L18" t="inlineStr">
        <is>
          <t>system</t>
        </is>
      </c>
      <c r="M18" t="inlineStr"/>
    </row>
    <row r="19">
      <c r="A19" t="inlineStr">
        <is>
          <t>202607-0041</t>
        </is>
      </c>
      <c r="B19" t="inlineStr">
        <is>
          <t>JE-6099</t>
        </is>
      </c>
      <c r="C19" t="inlineStr">
        <is>
          <t>2026-07-01</t>
        </is>
      </c>
      <c r="D19" t="n">
        <v>1100</v>
      </c>
      <c r="E19" t="inlineStr">
        <is>
          <t>Accounts Receivable - Carriers</t>
        </is>
      </c>
      <c r="F19" t="inlineStr">
        <is>
          <t>Northfork Insurance Co.</t>
        </is>
      </c>
      <c r="G19" t="inlineStr">
        <is>
          <t>Monthly service fee - Northfork Insurance Co.</t>
        </is>
      </c>
      <c r="H19" t="inlineStr">
        <is>
          <t>AR</t>
        </is>
      </c>
      <c r="I19" t="n">
        <v>3499.37</v>
      </c>
      <c r="K19" t="inlineStr">
        <is>
          <t>AR</t>
        </is>
      </c>
      <c r="L19" t="inlineStr">
        <is>
          <t>system</t>
        </is>
      </c>
      <c r="M19" t="inlineStr"/>
    </row>
    <row r="20">
      <c r="A20" t="inlineStr">
        <is>
          <t>202607-0042</t>
        </is>
      </c>
      <c r="B20" t="inlineStr">
        <is>
          <t>JE-6099</t>
        </is>
      </c>
      <c r="C20" t="inlineStr">
        <is>
          <t>2026-07-01</t>
        </is>
      </c>
      <c r="D20" t="n">
        <v>4000</v>
      </c>
      <c r="E20" t="inlineStr">
        <is>
          <t>Service Revenue - Carriers</t>
        </is>
      </c>
      <c r="F20" t="inlineStr">
        <is>
          <t>Northfork Insurance Co.</t>
        </is>
      </c>
      <c r="G20" t="inlineStr">
        <is>
          <t>Monthly service fee - Northfork Insurance Co.</t>
        </is>
      </c>
      <c r="H20" t="inlineStr">
        <is>
          <t>AR</t>
        </is>
      </c>
      <c r="J20" t="n">
        <v>3499.37</v>
      </c>
      <c r="K20" t="inlineStr">
        <is>
          <t>AR</t>
        </is>
      </c>
      <c r="L20" t="inlineStr">
        <is>
          <t>system</t>
        </is>
      </c>
      <c r="M20" t="inlineStr"/>
    </row>
    <row r="21">
      <c r="A21" t="inlineStr">
        <is>
          <t>202607-0043</t>
        </is>
      </c>
      <c r="B21" t="inlineStr">
        <is>
          <t>JE-6100</t>
        </is>
      </c>
      <c r="C21" t="inlineStr">
        <is>
          <t>2026-07-01</t>
        </is>
      </c>
      <c r="D21" t="n">
        <v>1100</v>
      </c>
      <c r="E21" t="inlineStr">
        <is>
          <t>Accounts Receivable - Carriers</t>
        </is>
      </c>
      <c r="F21" t="inlineStr">
        <is>
          <t>Meridian Auto &amp; Home</t>
        </is>
      </c>
      <c r="G21" t="inlineStr">
        <is>
          <t>Monthly service fee - Meridian Auto &amp; Home</t>
        </is>
      </c>
      <c r="H21" t="inlineStr">
        <is>
          <t>AR</t>
        </is>
      </c>
      <c r="I21" t="n">
        <v>2922.63</v>
      </c>
      <c r="K21" t="inlineStr">
        <is>
          <t>AR</t>
        </is>
      </c>
      <c r="L21" t="inlineStr">
        <is>
          <t>system</t>
        </is>
      </c>
      <c r="M21" t="inlineStr"/>
    </row>
    <row r="22">
      <c r="A22" t="inlineStr">
        <is>
          <t>202607-0044</t>
        </is>
      </c>
      <c r="B22" t="inlineStr">
        <is>
          <t>JE-6100</t>
        </is>
      </c>
      <c r="C22" t="inlineStr">
        <is>
          <t>2026-07-01</t>
        </is>
      </c>
      <c r="D22" t="n">
        <v>4000</v>
      </c>
      <c r="E22" t="inlineStr">
        <is>
          <t>Service Revenue - Carriers</t>
        </is>
      </c>
      <c r="F22" t="inlineStr">
        <is>
          <t>Meridian Auto &amp; Home</t>
        </is>
      </c>
      <c r="G22" t="inlineStr">
        <is>
          <t>Monthly service fee - Meridian Auto &amp; Home</t>
        </is>
      </c>
      <c r="H22" t="inlineStr">
        <is>
          <t>AR</t>
        </is>
      </c>
      <c r="J22" t="n">
        <v>2922.63</v>
      </c>
      <c r="K22" t="inlineStr">
        <is>
          <t>AR</t>
        </is>
      </c>
      <c r="L22" t="inlineStr">
        <is>
          <t>system</t>
        </is>
      </c>
      <c r="M22" t="inlineStr"/>
    </row>
    <row r="23">
      <c r="A23" t="inlineStr">
        <is>
          <t>202607-0045</t>
        </is>
      </c>
      <c r="B23" t="inlineStr">
        <is>
          <t>JE-6101</t>
        </is>
      </c>
      <c r="C23" t="inlineStr">
        <is>
          <t>2026-07-01</t>
        </is>
      </c>
      <c r="D23" t="n">
        <v>1100</v>
      </c>
      <c r="E23" t="inlineStr">
        <is>
          <t>Accounts Receivable - Carriers</t>
        </is>
      </c>
      <c r="F23" t="inlineStr">
        <is>
          <t>Atlas Comp Services</t>
        </is>
      </c>
      <c r="G23" t="inlineStr">
        <is>
          <t>Monthly service fee - Atlas Comp Services</t>
        </is>
      </c>
      <c r="H23" t="inlineStr">
        <is>
          <t>AR</t>
        </is>
      </c>
      <c r="I23" t="n">
        <v>2416.55</v>
      </c>
      <c r="K23" t="inlineStr">
        <is>
          <t>AR</t>
        </is>
      </c>
      <c r="L23" t="inlineStr">
        <is>
          <t>system</t>
        </is>
      </c>
      <c r="M23" t="inlineStr"/>
    </row>
    <row r="24">
      <c r="A24" t="inlineStr">
        <is>
          <t>202607-0046</t>
        </is>
      </c>
      <c r="B24" t="inlineStr">
        <is>
          <t>JE-6101</t>
        </is>
      </c>
      <c r="C24" t="inlineStr">
        <is>
          <t>2026-07-01</t>
        </is>
      </c>
      <c r="D24" t="n">
        <v>4000</v>
      </c>
      <c r="E24" t="inlineStr">
        <is>
          <t>Service Revenue - Carriers</t>
        </is>
      </c>
      <c r="F24" t="inlineStr">
        <is>
          <t>Atlas Comp Services</t>
        </is>
      </c>
      <c r="G24" t="inlineStr">
        <is>
          <t>Monthly service fee - Atlas Comp Services</t>
        </is>
      </c>
      <c r="H24" t="inlineStr">
        <is>
          <t>AR</t>
        </is>
      </c>
      <c r="J24" t="n">
        <v>2416.55</v>
      </c>
      <c r="K24" t="inlineStr">
        <is>
          <t>AR</t>
        </is>
      </c>
      <c r="L24" t="inlineStr">
        <is>
          <t>system</t>
        </is>
      </c>
      <c r="M24" t="inlineStr"/>
    </row>
    <row r="25">
      <c r="A25" t="inlineStr">
        <is>
          <t>202607-0071</t>
        </is>
      </c>
      <c r="B25" t="inlineStr">
        <is>
          <t>JE-6114</t>
        </is>
      </c>
      <c r="C25" t="inlineStr">
        <is>
          <t>2026-07-01</t>
        </is>
      </c>
      <c r="D25" t="n">
        <v>6100</v>
      </c>
      <c r="E25" t="inlineStr">
        <is>
          <t>Office Supplies</t>
        </is>
      </c>
      <c r="F25" t="inlineStr">
        <is>
          <t>Uline</t>
        </is>
      </c>
      <c r="G25" t="inlineStr">
        <is>
          <t>Uline - corporate card</t>
        </is>
      </c>
      <c r="H25" t="inlineStr">
        <is>
          <t>CC-14401</t>
        </is>
      </c>
      <c r="I25" t="n">
        <v>81.5</v>
      </c>
      <c r="K25" t="inlineStr">
        <is>
          <t>Card feed</t>
        </is>
      </c>
      <c r="L25" t="inlineStr">
        <is>
          <t>system</t>
        </is>
      </c>
      <c r="M25" t="inlineStr"/>
    </row>
    <row r="26">
      <c r="A26" t="inlineStr">
        <is>
          <t>202607-0072</t>
        </is>
      </c>
      <c r="B26" t="inlineStr">
        <is>
          <t>JE-6114</t>
        </is>
      </c>
      <c r="C26" t="inlineStr">
        <is>
          <t>2026-07-01</t>
        </is>
      </c>
      <c r="D26" t="n">
        <v>2000</v>
      </c>
      <c r="E26" t="inlineStr">
        <is>
          <t>Accounts Payable</t>
        </is>
      </c>
      <c r="F26" t="inlineStr">
        <is>
          <t>Uline</t>
        </is>
      </c>
      <c r="G26" t="inlineStr">
        <is>
          <t>Uline - corporate card</t>
        </is>
      </c>
      <c r="H26" t="inlineStr">
        <is>
          <t>CC-14401</t>
        </is>
      </c>
      <c r="J26" t="n">
        <v>81.5</v>
      </c>
      <c r="K26" t="inlineStr">
        <is>
          <t>Card feed</t>
        </is>
      </c>
      <c r="L26" t="inlineStr">
        <is>
          <t>system</t>
        </is>
      </c>
      <c r="M26" t="inlineStr"/>
    </row>
    <row r="27">
      <c r="A27" t="inlineStr">
        <is>
          <t>202607-0087</t>
        </is>
      </c>
      <c r="B27" t="inlineStr">
        <is>
          <t>JE-6122</t>
        </is>
      </c>
      <c r="C27" t="inlineStr">
        <is>
          <t>2026-07-01</t>
        </is>
      </c>
      <c r="D27" t="n">
        <v>6900</v>
      </c>
      <c r="E27" t="inlineStr">
        <is>
          <t>Travel &amp; Meals</t>
        </is>
      </c>
      <c r="F27" t="inlineStr">
        <is>
          <t>Delta Air Lines</t>
        </is>
      </c>
      <c r="G27" t="inlineStr">
        <is>
          <t>Delta Air Lines - corporate card</t>
        </is>
      </c>
      <c r="H27" t="inlineStr">
        <is>
          <t>CC-87266</t>
        </is>
      </c>
      <c r="I27" t="n">
        <v>431.22</v>
      </c>
      <c r="K27" t="inlineStr">
        <is>
          <t>Card feed</t>
        </is>
      </c>
      <c r="L27" t="inlineStr">
        <is>
          <t>system</t>
        </is>
      </c>
      <c r="M27" t="inlineStr"/>
    </row>
    <row r="28">
      <c r="A28" t="inlineStr">
        <is>
          <t>202607-0088</t>
        </is>
      </c>
      <c r="B28" t="inlineStr">
        <is>
          <t>JE-6122</t>
        </is>
      </c>
      <c r="C28" t="inlineStr">
        <is>
          <t>2026-07-01</t>
        </is>
      </c>
      <c r="D28" t="n">
        <v>2000</v>
      </c>
      <c r="E28" t="inlineStr">
        <is>
          <t>Accounts Payable</t>
        </is>
      </c>
      <c r="F28" t="inlineStr">
        <is>
          <t>Delta Air Lines</t>
        </is>
      </c>
      <c r="G28" t="inlineStr">
        <is>
          <t>Delta Air Lines - corporate card</t>
        </is>
      </c>
      <c r="H28" t="inlineStr">
        <is>
          <t>CC-87266</t>
        </is>
      </c>
      <c r="J28" t="n">
        <v>431.22</v>
      </c>
      <c r="K28" t="inlineStr">
        <is>
          <t>Card feed</t>
        </is>
      </c>
      <c r="L28" t="inlineStr">
        <is>
          <t>system</t>
        </is>
      </c>
      <c r="M28" t="inlineStr"/>
    </row>
    <row r="29">
      <c r="A29" t="inlineStr">
        <is>
          <t>202607-0145</t>
        </is>
      </c>
      <c r="B29" t="inlineStr">
        <is>
          <t>JE-6151</t>
        </is>
      </c>
      <c r="C29" t="inlineStr">
        <is>
          <t>2026-07-01</t>
        </is>
      </c>
      <c r="D29" t="n">
        <v>6900</v>
      </c>
      <c r="E29" t="inlineStr">
        <is>
          <t>Travel &amp; Meals</t>
        </is>
      </c>
      <c r="F29" t="inlineStr">
        <is>
          <t>DoorDash for Work</t>
        </is>
      </c>
      <c r="G29" t="inlineStr">
        <is>
          <t>DoorDash for Work - corporate card</t>
        </is>
      </c>
      <c r="H29" t="inlineStr">
        <is>
          <t>CC-20022</t>
        </is>
      </c>
      <c r="I29" t="n">
        <v>75.09</v>
      </c>
      <c r="K29" t="inlineStr">
        <is>
          <t>Card feed</t>
        </is>
      </c>
      <c r="L29" t="inlineStr">
        <is>
          <t>system</t>
        </is>
      </c>
      <c r="M29" t="inlineStr"/>
    </row>
    <row r="30">
      <c r="A30" t="inlineStr">
        <is>
          <t>202607-0146</t>
        </is>
      </c>
      <c r="B30" t="inlineStr">
        <is>
          <t>JE-6151</t>
        </is>
      </c>
      <c r="C30" t="inlineStr">
        <is>
          <t>2026-07-01</t>
        </is>
      </c>
      <c r="D30" t="n">
        <v>2000</v>
      </c>
      <c r="E30" t="inlineStr">
        <is>
          <t>Accounts Payable</t>
        </is>
      </c>
      <c r="F30" t="inlineStr">
        <is>
          <t>DoorDash for Work</t>
        </is>
      </c>
      <c r="G30" t="inlineStr">
        <is>
          <t>DoorDash for Work - corporate card</t>
        </is>
      </c>
      <c r="H30" t="inlineStr">
        <is>
          <t>CC-20022</t>
        </is>
      </c>
      <c r="J30" t="n">
        <v>75.09</v>
      </c>
      <c r="K30" t="inlineStr">
        <is>
          <t>Card feed</t>
        </is>
      </c>
      <c r="L30" t="inlineStr">
        <is>
          <t>system</t>
        </is>
      </c>
      <c r="M30" t="inlineStr"/>
    </row>
    <row r="31">
      <c r="A31" t="inlineStr">
        <is>
          <t>202607-0009</t>
        </is>
      </c>
      <c r="B31" t="inlineStr">
        <is>
          <t>JE-6084</t>
        </is>
      </c>
      <c r="C31" t="inlineStr">
        <is>
          <t>2026-07-02</t>
        </is>
      </c>
      <c r="D31" t="n">
        <v>6420</v>
      </c>
      <c r="E31" t="inlineStr">
        <is>
          <t>Software Subscriptions</t>
        </is>
      </c>
      <c r="F31" t="inlineStr">
        <is>
          <t>Anthropic PBC - Claude Team</t>
        </is>
      </c>
      <c r="G31" t="inlineStr">
        <is>
          <t>Anthropic PBC - Claude Team - monthly</t>
        </is>
      </c>
      <c r="H31" t="inlineStr">
        <is>
          <t>ANT-202607-412</t>
        </is>
      </c>
      <c r="I31" t="n">
        <v>1500</v>
      </c>
      <c r="K31" t="inlineStr">
        <is>
          <t>AP</t>
        </is>
      </c>
      <c r="L31" t="inlineStr">
        <is>
          <t>system</t>
        </is>
      </c>
      <c r="M31" t="inlineStr"/>
    </row>
    <row r="32">
      <c r="A32" t="inlineStr">
        <is>
          <t>202607-0010</t>
        </is>
      </c>
      <c r="B32" t="inlineStr">
        <is>
          <t>JE-6084</t>
        </is>
      </c>
      <c r="C32" t="inlineStr">
        <is>
          <t>2026-07-02</t>
        </is>
      </c>
      <c r="D32" t="n">
        <v>2000</v>
      </c>
      <c r="E32" t="inlineStr">
        <is>
          <t>Accounts Payable</t>
        </is>
      </c>
      <c r="F32" t="inlineStr">
        <is>
          <t>Anthropic PBC - Claude Team</t>
        </is>
      </c>
      <c r="G32" t="inlineStr">
        <is>
          <t>Anthropic PBC - Claude Team - monthly</t>
        </is>
      </c>
      <c r="H32" t="inlineStr">
        <is>
          <t>ANT-202607-412</t>
        </is>
      </c>
      <c r="J32" t="n">
        <v>1500</v>
      </c>
      <c r="K32" t="inlineStr">
        <is>
          <t>AP</t>
        </is>
      </c>
      <c r="L32" t="inlineStr">
        <is>
          <t>system</t>
        </is>
      </c>
      <c r="M32" t="inlineStr"/>
    </row>
    <row r="33">
      <c r="A33" t="inlineStr">
        <is>
          <t>202607-0003</t>
        </is>
      </c>
      <c r="B33" t="inlineStr">
        <is>
          <t>JE-6081</t>
        </is>
      </c>
      <c r="C33" t="inlineStr">
        <is>
          <t>2026-07-03</t>
        </is>
      </c>
      <c r="D33" t="n">
        <v>6450</v>
      </c>
      <c r="E33" t="inlineStr">
        <is>
          <t>Cloud Hosting</t>
        </is>
      </c>
      <c r="F33" t="inlineStr">
        <is>
          <t>Amazon Web Services</t>
        </is>
      </c>
      <c r="G33" t="inlineStr">
        <is>
          <t>Amazon Web Services - monthly</t>
        </is>
      </c>
      <c r="H33" t="inlineStr">
        <is>
          <t>AMA-202607-937</t>
        </is>
      </c>
      <c r="I33" t="n">
        <v>14342.18</v>
      </c>
      <c r="K33" t="inlineStr">
        <is>
          <t>AP</t>
        </is>
      </c>
      <c r="L33" t="inlineStr">
        <is>
          <t>system</t>
        </is>
      </c>
      <c r="M33" t="inlineStr"/>
    </row>
    <row r="34">
      <c r="A34" t="inlineStr">
        <is>
          <t>202607-0004</t>
        </is>
      </c>
      <c r="B34" t="inlineStr">
        <is>
          <t>JE-6081</t>
        </is>
      </c>
      <c r="C34" t="inlineStr">
        <is>
          <t>2026-07-03</t>
        </is>
      </c>
      <c r="D34" t="n">
        <v>2000</v>
      </c>
      <c r="E34" t="inlineStr">
        <is>
          <t>Accounts Payable</t>
        </is>
      </c>
      <c r="F34" t="inlineStr">
        <is>
          <t>Amazon Web Services</t>
        </is>
      </c>
      <c r="G34" t="inlineStr">
        <is>
          <t>Amazon Web Services - monthly</t>
        </is>
      </c>
      <c r="H34" t="inlineStr">
        <is>
          <t>AMA-202607-937</t>
        </is>
      </c>
      <c r="J34" t="n">
        <v>14342.18</v>
      </c>
      <c r="K34" t="inlineStr">
        <is>
          <t>AP</t>
        </is>
      </c>
      <c r="L34" t="inlineStr">
        <is>
          <t>system</t>
        </is>
      </c>
      <c r="M34" t="inlineStr"/>
    </row>
    <row r="35">
      <c r="A35" t="inlineStr">
        <is>
          <t>202607-0095</t>
        </is>
      </c>
      <c r="B35" t="inlineStr">
        <is>
          <t>JE-6126</t>
        </is>
      </c>
      <c r="C35" t="inlineStr">
        <is>
          <t>2026-07-03</t>
        </is>
      </c>
      <c r="D35" t="n">
        <v>6100</v>
      </c>
      <c r="E35" t="inlineStr">
        <is>
          <t>Office Supplies</t>
        </is>
      </c>
      <c r="F35" t="inlineStr">
        <is>
          <t>FedEx</t>
        </is>
      </c>
      <c r="G35" t="inlineStr">
        <is>
          <t>FedEx - corporate card</t>
        </is>
      </c>
      <c r="H35" t="inlineStr">
        <is>
          <t>CC-43482</t>
        </is>
      </c>
      <c r="I35" t="n">
        <v>65.28</v>
      </c>
      <c r="K35" t="inlineStr">
        <is>
          <t>Card feed</t>
        </is>
      </c>
      <c r="L35" t="inlineStr">
        <is>
          <t>system</t>
        </is>
      </c>
      <c r="M35" t="inlineStr"/>
    </row>
    <row r="36">
      <c r="A36" t="inlineStr">
        <is>
          <t>202607-0096</t>
        </is>
      </c>
      <c r="B36" t="inlineStr">
        <is>
          <t>JE-6126</t>
        </is>
      </c>
      <c r="C36" t="inlineStr">
        <is>
          <t>2026-07-03</t>
        </is>
      </c>
      <c r="D36" t="n">
        <v>2000</v>
      </c>
      <c r="E36" t="inlineStr">
        <is>
          <t>Accounts Payable</t>
        </is>
      </c>
      <c r="F36" t="inlineStr">
        <is>
          <t>FedEx</t>
        </is>
      </c>
      <c r="G36" t="inlineStr">
        <is>
          <t>FedEx - corporate card</t>
        </is>
      </c>
      <c r="H36" t="inlineStr">
        <is>
          <t>CC-43482</t>
        </is>
      </c>
      <c r="J36" t="n">
        <v>65.28</v>
      </c>
      <c r="K36" t="inlineStr">
        <is>
          <t>Card feed</t>
        </is>
      </c>
      <c r="L36" t="inlineStr">
        <is>
          <t>system</t>
        </is>
      </c>
      <c r="M36" t="inlineStr"/>
    </row>
    <row r="37">
      <c r="A37" t="inlineStr">
        <is>
          <t>202607-0121</t>
        </is>
      </c>
      <c r="B37" t="inlineStr">
        <is>
          <t>JE-6139</t>
        </is>
      </c>
      <c r="C37" t="inlineStr">
        <is>
          <t>2026-07-03</t>
        </is>
      </c>
      <c r="D37" t="n">
        <v>6100</v>
      </c>
      <c r="E37" t="inlineStr">
        <is>
          <t>Office Supplies</t>
        </is>
      </c>
      <c r="F37" t="inlineStr">
        <is>
          <t>Staples Business</t>
        </is>
      </c>
      <c r="G37" t="inlineStr">
        <is>
          <t>Staples Business - corporate card</t>
        </is>
      </c>
      <c r="H37" t="inlineStr">
        <is>
          <t>CC-95129</t>
        </is>
      </c>
      <c r="I37" t="n">
        <v>281.62</v>
      </c>
      <c r="K37" t="inlineStr">
        <is>
          <t>Card feed</t>
        </is>
      </c>
      <c r="L37" t="inlineStr">
        <is>
          <t>system</t>
        </is>
      </c>
      <c r="M37" t="inlineStr"/>
    </row>
    <row r="38">
      <c r="A38" t="inlineStr">
        <is>
          <t>202607-0122</t>
        </is>
      </c>
      <c r="B38" t="inlineStr">
        <is>
          <t>JE-6139</t>
        </is>
      </c>
      <c r="C38" t="inlineStr">
        <is>
          <t>2026-07-03</t>
        </is>
      </c>
      <c r="D38" t="n">
        <v>2000</v>
      </c>
      <c r="E38" t="inlineStr">
        <is>
          <t>Accounts Payable</t>
        </is>
      </c>
      <c r="F38" t="inlineStr">
        <is>
          <t>Staples Business</t>
        </is>
      </c>
      <c r="G38" t="inlineStr">
        <is>
          <t>Staples Business - corporate card</t>
        </is>
      </c>
      <c r="H38" t="inlineStr">
        <is>
          <t>CC-95129</t>
        </is>
      </c>
      <c r="J38" t="n">
        <v>281.62</v>
      </c>
      <c r="K38" t="inlineStr">
        <is>
          <t>Card feed</t>
        </is>
      </c>
      <c r="L38" t="inlineStr">
        <is>
          <t>system</t>
        </is>
      </c>
      <c r="M38" t="inlineStr"/>
    </row>
    <row r="39">
      <c r="A39" t="inlineStr">
        <is>
          <t>202607-0143</t>
        </is>
      </c>
      <c r="B39" t="inlineStr">
        <is>
          <t>JE-6150</t>
        </is>
      </c>
      <c r="C39" t="inlineStr">
        <is>
          <t>2026-07-03</t>
        </is>
      </c>
      <c r="D39" t="n">
        <v>6420</v>
      </c>
      <c r="E39" t="inlineStr">
        <is>
          <t>Software Subscriptions</t>
        </is>
      </c>
      <c r="F39" t="inlineStr">
        <is>
          <t>Zoom Video</t>
        </is>
      </c>
      <c r="G39" t="inlineStr">
        <is>
          <t>Zoom Video - corporate card</t>
        </is>
      </c>
      <c r="H39" t="inlineStr">
        <is>
          <t>CC-68637</t>
        </is>
      </c>
      <c r="I39" t="n">
        <v>128.66</v>
      </c>
      <c r="K39" t="inlineStr">
        <is>
          <t>Card feed</t>
        </is>
      </c>
      <c r="L39" t="inlineStr">
        <is>
          <t>system</t>
        </is>
      </c>
      <c r="M39" t="inlineStr"/>
    </row>
    <row r="40">
      <c r="A40" t="inlineStr">
        <is>
          <t>202607-0144</t>
        </is>
      </c>
      <c r="B40" t="inlineStr">
        <is>
          <t>JE-6150</t>
        </is>
      </c>
      <c r="C40" t="inlineStr">
        <is>
          <t>2026-07-03</t>
        </is>
      </c>
      <c r="D40" t="n">
        <v>2000</v>
      </c>
      <c r="E40" t="inlineStr">
        <is>
          <t>Accounts Payable</t>
        </is>
      </c>
      <c r="F40" t="inlineStr">
        <is>
          <t>Zoom Video</t>
        </is>
      </c>
      <c r="G40" t="inlineStr">
        <is>
          <t>Zoom Video - corporate card</t>
        </is>
      </c>
      <c r="H40" t="inlineStr">
        <is>
          <t>CC-68637</t>
        </is>
      </c>
      <c r="J40" t="n">
        <v>128.66</v>
      </c>
      <c r="K40" t="inlineStr">
        <is>
          <t>Card feed</t>
        </is>
      </c>
      <c r="L40" t="inlineStr">
        <is>
          <t>system</t>
        </is>
      </c>
      <c r="M40" t="inlineStr"/>
    </row>
    <row r="41">
      <c r="A41" t="inlineStr">
        <is>
          <t>202607-0001</t>
        </is>
      </c>
      <c r="B41" t="inlineStr">
        <is>
          <t>JE-6080</t>
        </is>
      </c>
      <c r="C41" t="inlineStr">
        <is>
          <t>2026-07-05</t>
        </is>
      </c>
      <c r="D41" t="n">
        <v>6500</v>
      </c>
      <c r="E41" t="inlineStr">
        <is>
          <t>Records Storage &amp; Destruction</t>
        </is>
      </c>
      <c r="F41" t="inlineStr">
        <is>
          <t>Iron Mountain Records Mgmt</t>
        </is>
      </c>
      <c r="G41" t="inlineStr">
        <is>
          <t>Iron Mountain Records Mgmt - monthly</t>
        </is>
      </c>
      <c r="H41" t="inlineStr">
        <is>
          <t>IRO-202607-922</t>
        </is>
      </c>
      <c r="I41" t="n">
        <v>1842.5</v>
      </c>
      <c r="K41" t="inlineStr">
        <is>
          <t>AP</t>
        </is>
      </c>
      <c r="L41" t="inlineStr">
        <is>
          <t>system</t>
        </is>
      </c>
      <c r="M41" t="inlineStr"/>
    </row>
    <row r="42">
      <c r="A42" t="inlineStr">
        <is>
          <t>202607-0002</t>
        </is>
      </c>
      <c r="B42" t="inlineStr">
        <is>
          <t>JE-6080</t>
        </is>
      </c>
      <c r="C42" t="inlineStr">
        <is>
          <t>2026-07-05</t>
        </is>
      </c>
      <c r="D42" t="n">
        <v>2000</v>
      </c>
      <c r="E42" t="inlineStr">
        <is>
          <t>Accounts Payable</t>
        </is>
      </c>
      <c r="F42" t="inlineStr">
        <is>
          <t>Iron Mountain Records Mgmt</t>
        </is>
      </c>
      <c r="G42" t="inlineStr">
        <is>
          <t>Iron Mountain Records Mgmt - monthly</t>
        </is>
      </c>
      <c r="H42" t="inlineStr">
        <is>
          <t>IRO-202607-922</t>
        </is>
      </c>
      <c r="J42" t="n">
        <v>1842.5</v>
      </c>
      <c r="K42" t="inlineStr">
        <is>
          <t>AP</t>
        </is>
      </c>
      <c r="L42" t="inlineStr">
        <is>
          <t>system</t>
        </is>
      </c>
      <c r="M42" t="inlineStr"/>
    </row>
    <row r="43">
      <c r="A43" t="inlineStr">
        <is>
          <t>202607-0063</t>
        </is>
      </c>
      <c r="B43" t="inlineStr">
        <is>
          <t>JE-6110</t>
        </is>
      </c>
      <c r="C43" t="inlineStr">
        <is>
          <t>2026-07-06</t>
        </is>
      </c>
      <c r="D43" t="n">
        <v>6900</v>
      </c>
      <c r="E43" t="inlineStr">
        <is>
          <t>Travel &amp; Meals</t>
        </is>
      </c>
      <c r="F43" t="inlineStr">
        <is>
          <t>DoorDash for Work</t>
        </is>
      </c>
      <c r="G43" t="inlineStr">
        <is>
          <t>DoorDash for Work - corporate card</t>
        </is>
      </c>
      <c r="H43" t="inlineStr">
        <is>
          <t>CC-63241</t>
        </is>
      </c>
      <c r="I43" t="n">
        <v>59.58</v>
      </c>
      <c r="K43" t="inlineStr">
        <is>
          <t>Card feed</t>
        </is>
      </c>
      <c r="L43" t="inlineStr">
        <is>
          <t>system</t>
        </is>
      </c>
      <c r="M43" t="inlineStr"/>
    </row>
    <row r="44">
      <c r="A44" t="inlineStr">
        <is>
          <t>202607-0064</t>
        </is>
      </c>
      <c r="B44" t="inlineStr">
        <is>
          <t>JE-6110</t>
        </is>
      </c>
      <c r="C44" t="inlineStr">
        <is>
          <t>2026-07-06</t>
        </is>
      </c>
      <c r="D44" t="n">
        <v>2000</v>
      </c>
      <c r="E44" t="inlineStr">
        <is>
          <t>Accounts Payable</t>
        </is>
      </c>
      <c r="F44" t="inlineStr">
        <is>
          <t>DoorDash for Work</t>
        </is>
      </c>
      <c r="G44" t="inlineStr">
        <is>
          <t>DoorDash for Work - corporate card</t>
        </is>
      </c>
      <c r="H44" t="inlineStr">
        <is>
          <t>CC-63241</t>
        </is>
      </c>
      <c r="J44" t="n">
        <v>59.58</v>
      </c>
      <c r="K44" t="inlineStr">
        <is>
          <t>Card feed</t>
        </is>
      </c>
      <c r="L44" t="inlineStr">
        <is>
          <t>system</t>
        </is>
      </c>
      <c r="M44" t="inlineStr"/>
    </row>
    <row r="45">
      <c r="A45" t="inlineStr">
        <is>
          <t>202607-0077</t>
        </is>
      </c>
      <c r="B45" t="inlineStr">
        <is>
          <t>JE-6117</t>
        </is>
      </c>
      <c r="C45" t="inlineStr">
        <is>
          <t>2026-07-06</t>
        </is>
      </c>
      <c r="D45" t="n">
        <v>6900</v>
      </c>
      <c r="E45" t="inlineStr">
        <is>
          <t>Travel &amp; Meals</t>
        </is>
      </c>
      <c r="F45" t="inlineStr">
        <is>
          <t>Hilton Garden Inn</t>
        </is>
      </c>
      <c r="G45" t="inlineStr">
        <is>
          <t>Hilton Garden Inn - corporate card</t>
        </is>
      </c>
      <c r="H45" t="inlineStr">
        <is>
          <t>CC-36406</t>
        </is>
      </c>
      <c r="I45" t="n">
        <v>323.17</v>
      </c>
      <c r="K45" t="inlineStr">
        <is>
          <t>Card feed</t>
        </is>
      </c>
      <c r="L45" t="inlineStr">
        <is>
          <t>system</t>
        </is>
      </c>
      <c r="M45" t="inlineStr"/>
    </row>
    <row r="46">
      <c r="A46" t="inlineStr">
        <is>
          <t>202607-0078</t>
        </is>
      </c>
      <c r="B46" t="inlineStr">
        <is>
          <t>JE-6117</t>
        </is>
      </c>
      <c r="C46" t="inlineStr">
        <is>
          <t>2026-07-06</t>
        </is>
      </c>
      <c r="D46" t="n">
        <v>2000</v>
      </c>
      <c r="E46" t="inlineStr">
        <is>
          <t>Accounts Payable</t>
        </is>
      </c>
      <c r="F46" t="inlineStr">
        <is>
          <t>Hilton Garden Inn</t>
        </is>
      </c>
      <c r="G46" t="inlineStr">
        <is>
          <t>Hilton Garden Inn - corporate card</t>
        </is>
      </c>
      <c r="H46" t="inlineStr">
        <is>
          <t>CC-36406</t>
        </is>
      </c>
      <c r="J46" t="n">
        <v>323.17</v>
      </c>
      <c r="K46" t="inlineStr">
        <is>
          <t>Card feed</t>
        </is>
      </c>
      <c r="L46" t="inlineStr">
        <is>
          <t>system</t>
        </is>
      </c>
      <c r="M46" t="inlineStr"/>
    </row>
    <row r="47">
      <c r="A47" t="inlineStr">
        <is>
          <t>202607-0103</t>
        </is>
      </c>
      <c r="B47" t="inlineStr">
        <is>
          <t>JE-6130</t>
        </is>
      </c>
      <c r="C47" t="inlineStr">
        <is>
          <t>2026-07-06</t>
        </is>
      </c>
      <c r="D47" t="n">
        <v>6900</v>
      </c>
      <c r="E47" t="inlineStr">
        <is>
          <t>Travel &amp; Meals</t>
        </is>
      </c>
      <c r="F47" t="inlineStr">
        <is>
          <t>Grubhub Corporate</t>
        </is>
      </c>
      <c r="G47" t="inlineStr">
        <is>
          <t>Grubhub Corporate - corporate card</t>
        </is>
      </c>
      <c r="H47" t="inlineStr">
        <is>
          <t>CC-27323</t>
        </is>
      </c>
      <c r="I47" t="n">
        <v>197.31</v>
      </c>
      <c r="K47" t="inlineStr">
        <is>
          <t>Card feed</t>
        </is>
      </c>
      <c r="L47" t="inlineStr">
        <is>
          <t>system</t>
        </is>
      </c>
      <c r="M47" t="inlineStr"/>
    </row>
    <row r="48">
      <c r="A48" t="inlineStr">
        <is>
          <t>202607-0104</t>
        </is>
      </c>
      <c r="B48" t="inlineStr">
        <is>
          <t>JE-6130</t>
        </is>
      </c>
      <c r="C48" t="inlineStr">
        <is>
          <t>2026-07-06</t>
        </is>
      </c>
      <c r="D48" t="n">
        <v>2000</v>
      </c>
      <c r="E48" t="inlineStr">
        <is>
          <t>Accounts Payable</t>
        </is>
      </c>
      <c r="F48" t="inlineStr">
        <is>
          <t>Grubhub Corporate</t>
        </is>
      </c>
      <c r="G48" t="inlineStr">
        <is>
          <t>Grubhub Corporate - corporate card</t>
        </is>
      </c>
      <c r="H48" t="inlineStr">
        <is>
          <t>CC-27323</t>
        </is>
      </c>
      <c r="J48" t="n">
        <v>197.31</v>
      </c>
      <c r="K48" t="inlineStr">
        <is>
          <t>Card feed</t>
        </is>
      </c>
      <c r="L48" t="inlineStr">
        <is>
          <t>system</t>
        </is>
      </c>
      <c r="M48" t="inlineStr"/>
    </row>
    <row r="49">
      <c r="A49" t="inlineStr">
        <is>
          <t>202607-0107</t>
        </is>
      </c>
      <c r="B49" t="inlineStr">
        <is>
          <t>JE-6132</t>
        </is>
      </c>
      <c r="C49" t="inlineStr">
        <is>
          <t>2026-07-06</t>
        </is>
      </c>
      <c r="D49" t="n">
        <v>6100</v>
      </c>
      <c r="E49" t="inlineStr">
        <is>
          <t>Office Supplies</t>
        </is>
      </c>
      <c r="F49" t="inlineStr">
        <is>
          <t>Staples Business</t>
        </is>
      </c>
      <c r="G49" t="inlineStr">
        <is>
          <t>Staples Business - corporate card</t>
        </is>
      </c>
      <c r="H49" t="inlineStr">
        <is>
          <t>CC-69812</t>
        </is>
      </c>
      <c r="I49" t="n">
        <v>229.32</v>
      </c>
      <c r="K49" t="inlineStr">
        <is>
          <t>Card feed</t>
        </is>
      </c>
      <c r="L49" t="inlineStr">
        <is>
          <t>system</t>
        </is>
      </c>
      <c r="M49" t="inlineStr"/>
    </row>
    <row r="50">
      <c r="A50" t="inlineStr">
        <is>
          <t>202607-0108</t>
        </is>
      </c>
      <c r="B50" t="inlineStr">
        <is>
          <t>JE-6132</t>
        </is>
      </c>
      <c r="C50" t="inlineStr">
        <is>
          <t>2026-07-06</t>
        </is>
      </c>
      <c r="D50" t="n">
        <v>2000</v>
      </c>
      <c r="E50" t="inlineStr">
        <is>
          <t>Accounts Payable</t>
        </is>
      </c>
      <c r="F50" t="inlineStr">
        <is>
          <t>Staples Business</t>
        </is>
      </c>
      <c r="G50" t="inlineStr">
        <is>
          <t>Staples Business - corporate card</t>
        </is>
      </c>
      <c r="H50" t="inlineStr">
        <is>
          <t>CC-69812</t>
        </is>
      </c>
      <c r="J50" t="n">
        <v>229.32</v>
      </c>
      <c r="K50" t="inlineStr">
        <is>
          <t>Card feed</t>
        </is>
      </c>
      <c r="L50" t="inlineStr">
        <is>
          <t>system</t>
        </is>
      </c>
      <c r="M50" t="inlineStr"/>
    </row>
    <row r="51">
      <c r="A51" t="inlineStr">
        <is>
          <t>202607-0109</t>
        </is>
      </c>
      <c r="B51" t="inlineStr">
        <is>
          <t>JE-6133</t>
        </is>
      </c>
      <c r="C51" t="inlineStr">
        <is>
          <t>2026-07-06</t>
        </is>
      </c>
      <c r="D51" t="n">
        <v>6100</v>
      </c>
      <c r="E51" t="inlineStr">
        <is>
          <t>Office Supplies</t>
        </is>
      </c>
      <c r="F51" t="inlineStr">
        <is>
          <t>UPS Store 4417</t>
        </is>
      </c>
      <c r="G51" t="inlineStr">
        <is>
          <t>UPS Store 4417 - corporate card</t>
        </is>
      </c>
      <c r="H51" t="inlineStr">
        <is>
          <t>CC-32677</t>
        </is>
      </c>
      <c r="I51" t="n">
        <v>58.4</v>
      </c>
      <c r="K51" t="inlineStr">
        <is>
          <t>Card feed</t>
        </is>
      </c>
      <c r="L51" t="inlineStr">
        <is>
          <t>system</t>
        </is>
      </c>
      <c r="M51" t="inlineStr"/>
    </row>
    <row r="52">
      <c r="A52" t="inlineStr">
        <is>
          <t>202607-0110</t>
        </is>
      </c>
      <c r="B52" t="inlineStr">
        <is>
          <t>JE-6133</t>
        </is>
      </c>
      <c r="C52" t="inlineStr">
        <is>
          <t>2026-07-06</t>
        </is>
      </c>
      <c r="D52" t="n">
        <v>2000</v>
      </c>
      <c r="E52" t="inlineStr">
        <is>
          <t>Accounts Payable</t>
        </is>
      </c>
      <c r="F52" t="inlineStr">
        <is>
          <t>UPS Store 4417</t>
        </is>
      </c>
      <c r="G52" t="inlineStr">
        <is>
          <t>UPS Store 4417 - corporate card</t>
        </is>
      </c>
      <c r="H52" t="inlineStr">
        <is>
          <t>CC-32677</t>
        </is>
      </c>
      <c r="J52" t="n">
        <v>58.4</v>
      </c>
      <c r="K52" t="inlineStr">
        <is>
          <t>Card feed</t>
        </is>
      </c>
      <c r="L52" t="inlineStr">
        <is>
          <t>system</t>
        </is>
      </c>
      <c r="M52" t="inlineStr"/>
    </row>
    <row r="53">
      <c r="A53" t="inlineStr">
        <is>
          <t>202607-0119</t>
        </is>
      </c>
      <c r="B53" t="inlineStr">
        <is>
          <t>JE-6138</t>
        </is>
      </c>
      <c r="C53" t="inlineStr">
        <is>
          <t>2026-07-06</t>
        </is>
      </c>
      <c r="D53" t="n">
        <v>6100</v>
      </c>
      <c r="E53" t="inlineStr">
        <is>
          <t>Office Supplies</t>
        </is>
      </c>
      <c r="F53" t="inlineStr">
        <is>
          <t>FedEx</t>
        </is>
      </c>
      <c r="G53" t="inlineStr">
        <is>
          <t>FedEx - corporate card</t>
        </is>
      </c>
      <c r="H53" t="inlineStr">
        <is>
          <t>CC-78921</t>
        </is>
      </c>
      <c r="I53" t="n">
        <v>133.42</v>
      </c>
      <c r="K53" t="inlineStr">
        <is>
          <t>Card feed</t>
        </is>
      </c>
      <c r="L53" t="inlineStr">
        <is>
          <t>system</t>
        </is>
      </c>
      <c r="M53" t="inlineStr"/>
    </row>
    <row r="54">
      <c r="A54" t="inlineStr">
        <is>
          <t>202607-0120</t>
        </is>
      </c>
      <c r="B54" t="inlineStr">
        <is>
          <t>JE-6138</t>
        </is>
      </c>
      <c r="C54" t="inlineStr">
        <is>
          <t>2026-07-06</t>
        </is>
      </c>
      <c r="D54" t="n">
        <v>2000</v>
      </c>
      <c r="E54" t="inlineStr">
        <is>
          <t>Accounts Payable</t>
        </is>
      </c>
      <c r="F54" t="inlineStr">
        <is>
          <t>FedEx</t>
        </is>
      </c>
      <c r="G54" t="inlineStr">
        <is>
          <t>FedEx - corporate card</t>
        </is>
      </c>
      <c r="H54" t="inlineStr">
        <is>
          <t>CC-78921</t>
        </is>
      </c>
      <c r="J54" t="n">
        <v>133.42</v>
      </c>
      <c r="K54" t="inlineStr">
        <is>
          <t>Card feed</t>
        </is>
      </c>
      <c r="L54" t="inlineStr">
        <is>
          <t>system</t>
        </is>
      </c>
      <c r="M54" t="inlineStr"/>
    </row>
    <row r="55">
      <c r="A55" t="inlineStr">
        <is>
          <t>202607-0125</t>
        </is>
      </c>
      <c r="B55" t="inlineStr">
        <is>
          <t>JE-6141</t>
        </is>
      </c>
      <c r="C55" t="inlineStr">
        <is>
          <t>2026-07-06</t>
        </is>
      </c>
      <c r="D55" t="n">
        <v>6420</v>
      </c>
      <c r="E55" t="inlineStr">
        <is>
          <t>Software Subscriptions</t>
        </is>
      </c>
      <c r="F55" t="inlineStr">
        <is>
          <t>Adobe Inc.</t>
        </is>
      </c>
      <c r="G55" t="inlineStr">
        <is>
          <t>Adobe Inc. - corporate card</t>
        </is>
      </c>
      <c r="H55" t="inlineStr">
        <is>
          <t>CC-47747</t>
        </is>
      </c>
      <c r="I55" t="n">
        <v>55</v>
      </c>
      <c r="K55" t="inlineStr">
        <is>
          <t>Card feed</t>
        </is>
      </c>
      <c r="L55" t="inlineStr">
        <is>
          <t>system</t>
        </is>
      </c>
      <c r="M55" t="inlineStr"/>
    </row>
    <row r="56">
      <c r="A56" t="inlineStr">
        <is>
          <t>202607-0126</t>
        </is>
      </c>
      <c r="B56" t="inlineStr">
        <is>
          <t>JE-6141</t>
        </is>
      </c>
      <c r="C56" t="inlineStr">
        <is>
          <t>2026-07-06</t>
        </is>
      </c>
      <c r="D56" t="n">
        <v>2000</v>
      </c>
      <c r="E56" t="inlineStr">
        <is>
          <t>Accounts Payable</t>
        </is>
      </c>
      <c r="F56" t="inlineStr">
        <is>
          <t>Adobe Inc.</t>
        </is>
      </c>
      <c r="G56" t="inlineStr">
        <is>
          <t>Adobe Inc. - corporate card</t>
        </is>
      </c>
      <c r="H56" t="inlineStr">
        <is>
          <t>CC-47747</t>
        </is>
      </c>
      <c r="J56" t="n">
        <v>55</v>
      </c>
      <c r="K56" t="inlineStr">
        <is>
          <t>Card feed</t>
        </is>
      </c>
      <c r="L56" t="inlineStr">
        <is>
          <t>system</t>
        </is>
      </c>
      <c r="M56" t="inlineStr"/>
    </row>
    <row r="57">
      <c r="A57" t="inlineStr">
        <is>
          <t>202607-0127</t>
        </is>
      </c>
      <c r="B57" t="inlineStr">
        <is>
          <t>JE-6142</t>
        </is>
      </c>
      <c r="C57" t="inlineStr">
        <is>
          <t>2026-07-06</t>
        </is>
      </c>
      <c r="D57" t="n">
        <v>6900</v>
      </c>
      <c r="E57" t="inlineStr">
        <is>
          <t>Travel &amp; Meals</t>
        </is>
      </c>
      <c r="F57" t="inlineStr">
        <is>
          <t>Grubhub Corporate</t>
        </is>
      </c>
      <c r="G57" t="inlineStr">
        <is>
          <t>Grubhub Corporate - corporate card</t>
        </is>
      </c>
      <c r="H57" t="inlineStr">
        <is>
          <t>CC-39850</t>
        </is>
      </c>
      <c r="I57" t="n">
        <v>248.77</v>
      </c>
      <c r="K57" t="inlineStr">
        <is>
          <t>Card feed</t>
        </is>
      </c>
      <c r="L57" t="inlineStr">
        <is>
          <t>system</t>
        </is>
      </c>
      <c r="M57" t="inlineStr"/>
    </row>
    <row r="58">
      <c r="A58" t="inlineStr">
        <is>
          <t>202607-0128</t>
        </is>
      </c>
      <c r="B58" t="inlineStr">
        <is>
          <t>JE-6142</t>
        </is>
      </c>
      <c r="C58" t="inlineStr">
        <is>
          <t>2026-07-06</t>
        </is>
      </c>
      <c r="D58" t="n">
        <v>2000</v>
      </c>
      <c r="E58" t="inlineStr">
        <is>
          <t>Accounts Payable</t>
        </is>
      </c>
      <c r="F58" t="inlineStr">
        <is>
          <t>Grubhub Corporate</t>
        </is>
      </c>
      <c r="G58" t="inlineStr">
        <is>
          <t>Grubhub Corporate - corporate card</t>
        </is>
      </c>
      <c r="H58" t="inlineStr">
        <is>
          <t>CC-39850</t>
        </is>
      </c>
      <c r="J58" t="n">
        <v>248.77</v>
      </c>
      <c r="K58" t="inlineStr">
        <is>
          <t>Card feed</t>
        </is>
      </c>
      <c r="L58" t="inlineStr">
        <is>
          <t>system</t>
        </is>
      </c>
      <c r="M58" t="inlineStr"/>
    </row>
    <row r="59">
      <c r="A59" t="inlineStr">
        <is>
          <t>202607-0135</t>
        </is>
      </c>
      <c r="B59" t="inlineStr">
        <is>
          <t>JE-6146</t>
        </is>
      </c>
      <c r="C59" t="inlineStr">
        <is>
          <t>2026-07-06</t>
        </is>
      </c>
      <c r="D59" t="n">
        <v>6100</v>
      </c>
      <c r="E59" t="inlineStr">
        <is>
          <t>Office Supplies</t>
        </is>
      </c>
      <c r="F59" t="inlineStr">
        <is>
          <t>Staples Business</t>
        </is>
      </c>
      <c r="G59" t="inlineStr">
        <is>
          <t>Staples Business - corporate card</t>
        </is>
      </c>
      <c r="H59" t="inlineStr">
        <is>
          <t>CC-49402</t>
        </is>
      </c>
      <c r="I59" t="n">
        <v>264.46</v>
      </c>
      <c r="K59" t="inlineStr">
        <is>
          <t>Card feed</t>
        </is>
      </c>
      <c r="L59" t="inlineStr">
        <is>
          <t>system</t>
        </is>
      </c>
      <c r="M59" t="inlineStr"/>
    </row>
    <row r="60">
      <c r="A60" t="inlineStr">
        <is>
          <t>202607-0136</t>
        </is>
      </c>
      <c r="B60" t="inlineStr">
        <is>
          <t>JE-6146</t>
        </is>
      </c>
      <c r="C60" t="inlineStr">
        <is>
          <t>2026-07-06</t>
        </is>
      </c>
      <c r="D60" t="n">
        <v>2000</v>
      </c>
      <c r="E60" t="inlineStr">
        <is>
          <t>Accounts Payable</t>
        </is>
      </c>
      <c r="F60" t="inlineStr">
        <is>
          <t>Staples Business</t>
        </is>
      </c>
      <c r="G60" t="inlineStr">
        <is>
          <t>Staples Business - corporate card</t>
        </is>
      </c>
      <c r="H60" t="inlineStr">
        <is>
          <t>CC-49402</t>
        </is>
      </c>
      <c r="J60" t="n">
        <v>264.46</v>
      </c>
      <c r="K60" t="inlineStr">
        <is>
          <t>Card feed</t>
        </is>
      </c>
      <c r="L60" t="inlineStr">
        <is>
          <t>system</t>
        </is>
      </c>
      <c r="M60" t="inlineStr"/>
    </row>
    <row r="61">
      <c r="A61" t="inlineStr">
        <is>
          <t>202607-0139</t>
        </is>
      </c>
      <c r="B61" t="inlineStr">
        <is>
          <t>JE-6148</t>
        </is>
      </c>
      <c r="C61" t="inlineStr">
        <is>
          <t>2026-07-06</t>
        </is>
      </c>
      <c r="D61" t="n">
        <v>6420</v>
      </c>
      <c r="E61" t="inlineStr">
        <is>
          <t>Software Subscriptions</t>
        </is>
      </c>
      <c r="F61" t="inlineStr">
        <is>
          <t>Adobe Inc.</t>
        </is>
      </c>
      <c r="G61" t="inlineStr">
        <is>
          <t>Adobe Inc. - corporate card</t>
        </is>
      </c>
      <c r="H61" t="inlineStr">
        <is>
          <t>CC-33112</t>
        </is>
      </c>
      <c r="I61" t="n">
        <v>55</v>
      </c>
      <c r="K61" t="inlineStr">
        <is>
          <t>Card feed</t>
        </is>
      </c>
      <c r="L61" t="inlineStr">
        <is>
          <t>system</t>
        </is>
      </c>
      <c r="M61" t="inlineStr"/>
    </row>
    <row r="62">
      <c r="A62" t="inlineStr">
        <is>
          <t>202607-0140</t>
        </is>
      </c>
      <c r="B62" t="inlineStr">
        <is>
          <t>JE-6148</t>
        </is>
      </c>
      <c r="C62" t="inlineStr">
        <is>
          <t>2026-07-06</t>
        </is>
      </c>
      <c r="D62" t="n">
        <v>2000</v>
      </c>
      <c r="E62" t="inlineStr">
        <is>
          <t>Accounts Payable</t>
        </is>
      </c>
      <c r="F62" t="inlineStr">
        <is>
          <t>Adobe Inc.</t>
        </is>
      </c>
      <c r="G62" t="inlineStr">
        <is>
          <t>Adobe Inc. - corporate card</t>
        </is>
      </c>
      <c r="H62" t="inlineStr">
        <is>
          <t>CC-33112</t>
        </is>
      </c>
      <c r="J62" t="n">
        <v>55</v>
      </c>
      <c r="K62" t="inlineStr">
        <is>
          <t>Card feed</t>
        </is>
      </c>
      <c r="L62" t="inlineStr">
        <is>
          <t>system</t>
        </is>
      </c>
      <c r="M62" t="inlineStr"/>
    </row>
    <row r="63">
      <c r="A63" t="inlineStr">
        <is>
          <t>202607-0149</t>
        </is>
      </c>
      <c r="B63" t="inlineStr">
        <is>
          <t>JE-6153</t>
        </is>
      </c>
      <c r="C63" t="inlineStr">
        <is>
          <t>2026-07-06</t>
        </is>
      </c>
      <c r="D63" t="n">
        <v>6100</v>
      </c>
      <c r="E63" t="inlineStr">
        <is>
          <t>Office Supplies</t>
        </is>
      </c>
      <c r="F63" t="inlineStr">
        <is>
          <t>Uline</t>
        </is>
      </c>
      <c r="G63" t="inlineStr">
        <is>
          <t>Uline - corporate card</t>
        </is>
      </c>
      <c r="H63" t="inlineStr">
        <is>
          <t>CC-24353</t>
        </is>
      </c>
      <c r="I63" t="n">
        <v>274.91</v>
      </c>
      <c r="K63" t="inlineStr">
        <is>
          <t>Card feed</t>
        </is>
      </c>
      <c r="L63" t="inlineStr">
        <is>
          <t>system</t>
        </is>
      </c>
      <c r="M63" t="inlineStr"/>
    </row>
    <row r="64">
      <c r="A64" t="inlineStr">
        <is>
          <t>202607-0150</t>
        </is>
      </c>
      <c r="B64" t="inlineStr">
        <is>
          <t>JE-6153</t>
        </is>
      </c>
      <c r="C64" t="inlineStr">
        <is>
          <t>2026-07-06</t>
        </is>
      </c>
      <c r="D64" t="n">
        <v>2000</v>
      </c>
      <c r="E64" t="inlineStr">
        <is>
          <t>Accounts Payable</t>
        </is>
      </c>
      <c r="F64" t="inlineStr">
        <is>
          <t>Uline</t>
        </is>
      </c>
      <c r="G64" t="inlineStr">
        <is>
          <t>Uline - corporate card</t>
        </is>
      </c>
      <c r="H64" t="inlineStr">
        <is>
          <t>CC-24353</t>
        </is>
      </c>
      <c r="J64" t="n">
        <v>274.91</v>
      </c>
      <c r="K64" t="inlineStr">
        <is>
          <t>Card feed</t>
        </is>
      </c>
      <c r="L64" t="inlineStr">
        <is>
          <t>system</t>
        </is>
      </c>
      <c r="M64" t="inlineStr"/>
    </row>
    <row r="65">
      <c r="A65" t="inlineStr">
        <is>
          <t>202607-0151</t>
        </is>
      </c>
      <c r="B65" t="inlineStr">
        <is>
          <t>JE-6154</t>
        </is>
      </c>
      <c r="C65" t="inlineStr">
        <is>
          <t>2026-07-06</t>
        </is>
      </c>
      <c r="D65" t="n">
        <v>6420</v>
      </c>
      <c r="E65" t="inlineStr">
        <is>
          <t>Software Subscriptions</t>
        </is>
      </c>
      <c r="F65" t="inlineStr">
        <is>
          <t>Adobe Inc.</t>
        </is>
      </c>
      <c r="G65" t="inlineStr">
        <is>
          <t>Adobe Inc. - corporate card</t>
        </is>
      </c>
      <c r="H65" t="inlineStr">
        <is>
          <t>CC-60892</t>
        </is>
      </c>
      <c r="I65" t="n">
        <v>55</v>
      </c>
      <c r="K65" t="inlineStr">
        <is>
          <t>Card feed</t>
        </is>
      </c>
      <c r="L65" t="inlineStr">
        <is>
          <t>system</t>
        </is>
      </c>
      <c r="M65" t="inlineStr"/>
    </row>
    <row r="66">
      <c r="A66" t="inlineStr">
        <is>
          <t>202607-0152</t>
        </is>
      </c>
      <c r="B66" t="inlineStr">
        <is>
          <t>JE-6154</t>
        </is>
      </c>
      <c r="C66" t="inlineStr">
        <is>
          <t>2026-07-06</t>
        </is>
      </c>
      <c r="D66" t="n">
        <v>2000</v>
      </c>
      <c r="E66" t="inlineStr">
        <is>
          <t>Accounts Payable</t>
        </is>
      </c>
      <c r="F66" t="inlineStr">
        <is>
          <t>Adobe Inc.</t>
        </is>
      </c>
      <c r="G66" t="inlineStr">
        <is>
          <t>Adobe Inc. - corporate card</t>
        </is>
      </c>
      <c r="H66" t="inlineStr">
        <is>
          <t>CC-60892</t>
        </is>
      </c>
      <c r="J66" t="n">
        <v>55</v>
      </c>
      <c r="K66" t="inlineStr">
        <is>
          <t>Card feed</t>
        </is>
      </c>
      <c r="L66" t="inlineStr">
        <is>
          <t>system</t>
        </is>
      </c>
      <c r="M66" t="inlineStr"/>
    </row>
    <row r="67">
      <c r="A67" t="inlineStr">
        <is>
          <t>202607-0067</t>
        </is>
      </c>
      <c r="B67" t="inlineStr">
        <is>
          <t>JE-6112</t>
        </is>
      </c>
      <c r="C67" t="inlineStr">
        <is>
          <t>2026-07-07</t>
        </is>
      </c>
      <c r="D67" t="n">
        <v>6900</v>
      </c>
      <c r="E67" t="inlineStr">
        <is>
          <t>Travel &amp; Meals</t>
        </is>
      </c>
      <c r="F67" t="inlineStr">
        <is>
          <t>DoorDash for Work</t>
        </is>
      </c>
      <c r="G67" t="inlineStr">
        <is>
          <t>DoorDash for Work - corporate card</t>
        </is>
      </c>
      <c r="H67" t="inlineStr">
        <is>
          <t>CC-55463</t>
        </is>
      </c>
      <c r="I67" t="n">
        <v>66.55</v>
      </c>
      <c r="K67" t="inlineStr">
        <is>
          <t>Card feed</t>
        </is>
      </c>
      <c r="L67" t="inlineStr">
        <is>
          <t>system</t>
        </is>
      </c>
      <c r="M67" t="inlineStr"/>
    </row>
    <row r="68">
      <c r="A68" t="inlineStr">
        <is>
          <t>202607-0068</t>
        </is>
      </c>
      <c r="B68" t="inlineStr">
        <is>
          <t>JE-6112</t>
        </is>
      </c>
      <c r="C68" t="inlineStr">
        <is>
          <t>2026-07-07</t>
        </is>
      </c>
      <c r="D68" t="n">
        <v>2000</v>
      </c>
      <c r="E68" t="inlineStr">
        <is>
          <t>Accounts Payable</t>
        </is>
      </c>
      <c r="F68" t="inlineStr">
        <is>
          <t>DoorDash for Work</t>
        </is>
      </c>
      <c r="G68" t="inlineStr">
        <is>
          <t>DoorDash for Work - corporate card</t>
        </is>
      </c>
      <c r="H68" t="inlineStr">
        <is>
          <t>CC-55463</t>
        </is>
      </c>
      <c r="J68" t="n">
        <v>66.55</v>
      </c>
      <c r="K68" t="inlineStr">
        <is>
          <t>Card feed</t>
        </is>
      </c>
      <c r="L68" t="inlineStr">
        <is>
          <t>system</t>
        </is>
      </c>
      <c r="M68" t="inlineStr"/>
    </row>
    <row r="69">
      <c r="A69" t="inlineStr">
        <is>
          <t>202607-0075</t>
        </is>
      </c>
      <c r="B69" t="inlineStr">
        <is>
          <t>JE-6116</t>
        </is>
      </c>
      <c r="C69" t="inlineStr">
        <is>
          <t>2026-07-07</t>
        </is>
      </c>
      <c r="D69" t="n">
        <v>6900</v>
      </c>
      <c r="E69" t="inlineStr">
        <is>
          <t>Travel &amp; Meals</t>
        </is>
      </c>
      <c r="F69" t="inlineStr">
        <is>
          <t>DoorDash for Work</t>
        </is>
      </c>
      <c r="G69" t="inlineStr">
        <is>
          <t>DoorDash for Work - corporate card</t>
        </is>
      </c>
      <c r="H69" t="inlineStr">
        <is>
          <t>CC-42416</t>
        </is>
      </c>
      <c r="I69" t="n">
        <v>225.28</v>
      </c>
      <c r="K69" t="inlineStr">
        <is>
          <t>Card feed</t>
        </is>
      </c>
      <c r="L69" t="inlineStr">
        <is>
          <t>system</t>
        </is>
      </c>
      <c r="M69" t="inlineStr"/>
    </row>
    <row r="70">
      <c r="A70" t="inlineStr">
        <is>
          <t>202607-0076</t>
        </is>
      </c>
      <c r="B70" t="inlineStr">
        <is>
          <t>JE-6116</t>
        </is>
      </c>
      <c r="C70" t="inlineStr">
        <is>
          <t>2026-07-07</t>
        </is>
      </c>
      <c r="D70" t="n">
        <v>2000</v>
      </c>
      <c r="E70" t="inlineStr">
        <is>
          <t>Accounts Payable</t>
        </is>
      </c>
      <c r="F70" t="inlineStr">
        <is>
          <t>DoorDash for Work</t>
        </is>
      </c>
      <c r="G70" t="inlineStr">
        <is>
          <t>DoorDash for Work - corporate card</t>
        </is>
      </c>
      <c r="H70" t="inlineStr">
        <is>
          <t>CC-42416</t>
        </is>
      </c>
      <c r="J70" t="n">
        <v>225.28</v>
      </c>
      <c r="K70" t="inlineStr">
        <is>
          <t>Card feed</t>
        </is>
      </c>
      <c r="L70" t="inlineStr">
        <is>
          <t>system</t>
        </is>
      </c>
      <c r="M70" t="inlineStr"/>
    </row>
    <row r="71">
      <c r="A71" t="inlineStr">
        <is>
          <t>202607-0079</t>
        </is>
      </c>
      <c r="B71" t="inlineStr">
        <is>
          <t>JE-6118</t>
        </is>
      </c>
      <c r="C71" t="inlineStr">
        <is>
          <t>2026-07-07</t>
        </is>
      </c>
      <c r="D71" t="n">
        <v>6900</v>
      </c>
      <c r="E71" t="inlineStr">
        <is>
          <t>Travel &amp; Meals</t>
        </is>
      </c>
      <c r="F71" t="inlineStr">
        <is>
          <t>Hilton Garden Inn</t>
        </is>
      </c>
      <c r="G71" t="inlineStr">
        <is>
          <t>Hilton Garden Inn - corporate card</t>
        </is>
      </c>
      <c r="H71" t="inlineStr">
        <is>
          <t>CC-51161</t>
        </is>
      </c>
      <c r="I71" t="n">
        <v>339.06</v>
      </c>
      <c r="K71" t="inlineStr">
        <is>
          <t>Card feed</t>
        </is>
      </c>
      <c r="L71" t="inlineStr">
        <is>
          <t>system</t>
        </is>
      </c>
      <c r="M71" t="inlineStr"/>
    </row>
    <row r="72">
      <c r="A72" t="inlineStr">
        <is>
          <t>202607-0080</t>
        </is>
      </c>
      <c r="B72" t="inlineStr">
        <is>
          <t>JE-6118</t>
        </is>
      </c>
      <c r="C72" t="inlineStr">
        <is>
          <t>2026-07-07</t>
        </is>
      </c>
      <c r="D72" t="n">
        <v>2000</v>
      </c>
      <c r="E72" t="inlineStr">
        <is>
          <t>Accounts Payable</t>
        </is>
      </c>
      <c r="F72" t="inlineStr">
        <is>
          <t>Hilton Garden Inn</t>
        </is>
      </c>
      <c r="G72" t="inlineStr">
        <is>
          <t>Hilton Garden Inn - corporate card</t>
        </is>
      </c>
      <c r="H72" t="inlineStr">
        <is>
          <t>CC-51161</t>
        </is>
      </c>
      <c r="J72" t="n">
        <v>339.06</v>
      </c>
      <c r="K72" t="inlineStr">
        <is>
          <t>Card feed</t>
        </is>
      </c>
      <c r="L72" t="inlineStr">
        <is>
          <t>system</t>
        </is>
      </c>
      <c r="M72" t="inlineStr"/>
    </row>
    <row r="73">
      <c r="A73" t="inlineStr">
        <is>
          <t>202607-0115</t>
        </is>
      </c>
      <c r="B73" t="inlineStr">
        <is>
          <t>JE-6136</t>
        </is>
      </c>
      <c r="C73" t="inlineStr">
        <is>
          <t>2026-07-07</t>
        </is>
      </c>
      <c r="D73" t="n">
        <v>6900</v>
      </c>
      <c r="E73" t="inlineStr">
        <is>
          <t>Travel &amp; Meals</t>
        </is>
      </c>
      <c r="F73" t="inlineStr">
        <is>
          <t>DoorDash for Work</t>
        </is>
      </c>
      <c r="G73" t="inlineStr">
        <is>
          <t>DoorDash for Work - corporate card</t>
        </is>
      </c>
      <c r="H73" t="inlineStr">
        <is>
          <t>CC-15721</t>
        </is>
      </c>
      <c r="I73" t="n">
        <v>165.39</v>
      </c>
      <c r="K73" t="inlineStr">
        <is>
          <t>Card feed</t>
        </is>
      </c>
      <c r="L73" t="inlineStr">
        <is>
          <t>system</t>
        </is>
      </c>
      <c r="M73" t="inlineStr"/>
    </row>
    <row r="74">
      <c r="A74" t="inlineStr">
        <is>
          <t>202607-0116</t>
        </is>
      </c>
      <c r="B74" t="inlineStr">
        <is>
          <t>JE-6136</t>
        </is>
      </c>
      <c r="C74" t="inlineStr">
        <is>
          <t>2026-07-07</t>
        </is>
      </c>
      <c r="D74" t="n">
        <v>2000</v>
      </c>
      <c r="E74" t="inlineStr">
        <is>
          <t>Accounts Payable</t>
        </is>
      </c>
      <c r="F74" t="inlineStr">
        <is>
          <t>DoorDash for Work</t>
        </is>
      </c>
      <c r="G74" t="inlineStr">
        <is>
          <t>DoorDash for Work - corporate card</t>
        </is>
      </c>
      <c r="H74" t="inlineStr">
        <is>
          <t>CC-15721</t>
        </is>
      </c>
      <c r="J74" t="n">
        <v>165.39</v>
      </c>
      <c r="K74" t="inlineStr">
        <is>
          <t>Card feed</t>
        </is>
      </c>
      <c r="L74" t="inlineStr">
        <is>
          <t>system</t>
        </is>
      </c>
      <c r="M74" t="inlineStr"/>
    </row>
    <row r="75">
      <c r="A75" t="inlineStr">
        <is>
          <t>202607-0019</t>
        </is>
      </c>
      <c r="B75" t="inlineStr">
        <is>
          <t>JE-6089</t>
        </is>
      </c>
      <c r="C75" t="inlineStr">
        <is>
          <t>2026-07-08</t>
        </is>
      </c>
      <c r="D75" t="n">
        <v>6420</v>
      </c>
      <c r="E75" t="inlineStr">
        <is>
          <t>Software Subscriptions</t>
        </is>
      </c>
      <c r="F75" t="inlineStr">
        <is>
          <t>Foxit Software</t>
        </is>
      </c>
      <c r="G75" t="inlineStr">
        <is>
          <t>Foxit Software - monthly</t>
        </is>
      </c>
      <c r="H75" t="inlineStr">
        <is>
          <t>FOX-202607-886</t>
        </is>
      </c>
      <c r="I75" t="n">
        <v>312</v>
      </c>
      <c r="K75" t="inlineStr">
        <is>
          <t>AP</t>
        </is>
      </c>
      <c r="L75" t="inlineStr">
        <is>
          <t>system</t>
        </is>
      </c>
      <c r="M75" t="inlineStr"/>
    </row>
    <row r="76">
      <c r="A76" t="inlineStr">
        <is>
          <t>202607-0020</t>
        </is>
      </c>
      <c r="B76" t="inlineStr">
        <is>
          <t>JE-6089</t>
        </is>
      </c>
      <c r="C76" t="inlineStr">
        <is>
          <t>2026-07-08</t>
        </is>
      </c>
      <c r="D76" t="n">
        <v>2000</v>
      </c>
      <c r="E76" t="inlineStr">
        <is>
          <t>Accounts Payable</t>
        </is>
      </c>
      <c r="F76" t="inlineStr">
        <is>
          <t>Foxit Software</t>
        </is>
      </c>
      <c r="G76" t="inlineStr">
        <is>
          <t>Foxit Software - monthly</t>
        </is>
      </c>
      <c r="H76" t="inlineStr">
        <is>
          <t>FOX-202607-886</t>
        </is>
      </c>
      <c r="J76" t="n">
        <v>312</v>
      </c>
      <c r="K76" t="inlineStr">
        <is>
          <t>AP</t>
        </is>
      </c>
      <c r="L76" t="inlineStr">
        <is>
          <t>system</t>
        </is>
      </c>
      <c r="M76" t="inlineStr"/>
    </row>
    <row r="77">
      <c r="A77" t="inlineStr">
        <is>
          <t>202607-0157</t>
        </is>
      </c>
      <c r="B77" t="inlineStr">
        <is>
          <t>JE-6157</t>
        </is>
      </c>
      <c r="C77" t="inlineStr">
        <is>
          <t>2026-07-08</t>
        </is>
      </c>
      <c r="D77" t="n">
        <v>6900</v>
      </c>
      <c r="E77" t="inlineStr">
        <is>
          <t>Travel &amp; Meals</t>
        </is>
      </c>
      <c r="F77" t="inlineStr">
        <is>
          <t>Delta Air Lines</t>
        </is>
      </c>
      <c r="G77" t="inlineStr">
        <is>
          <t>Delta Air Lines - corporate card</t>
        </is>
      </c>
      <c r="H77" t="inlineStr">
        <is>
          <t>CC-49086</t>
        </is>
      </c>
      <c r="I77" t="n">
        <v>597.35</v>
      </c>
      <c r="K77" t="inlineStr">
        <is>
          <t>Card feed</t>
        </is>
      </c>
      <c r="L77" t="inlineStr">
        <is>
          <t>system</t>
        </is>
      </c>
      <c r="M77" t="inlineStr"/>
    </row>
    <row r="78">
      <c r="A78" t="inlineStr">
        <is>
          <t>202607-0158</t>
        </is>
      </c>
      <c r="B78" t="inlineStr">
        <is>
          <t>JE-6157</t>
        </is>
      </c>
      <c r="C78" t="inlineStr">
        <is>
          <t>2026-07-08</t>
        </is>
      </c>
      <c r="D78" t="n">
        <v>2000</v>
      </c>
      <c r="E78" t="inlineStr">
        <is>
          <t>Accounts Payable</t>
        </is>
      </c>
      <c r="F78" t="inlineStr">
        <is>
          <t>Delta Air Lines</t>
        </is>
      </c>
      <c r="G78" t="inlineStr">
        <is>
          <t>Delta Air Lines - corporate card</t>
        </is>
      </c>
      <c r="H78" t="inlineStr">
        <is>
          <t>CC-49086</t>
        </is>
      </c>
      <c r="J78" t="n">
        <v>597.35</v>
      </c>
      <c r="K78" t="inlineStr">
        <is>
          <t>Card feed</t>
        </is>
      </c>
      <c r="L78" t="inlineStr">
        <is>
          <t>system</t>
        </is>
      </c>
      <c r="M78" t="inlineStr"/>
    </row>
    <row r="79">
      <c r="A79" t="inlineStr">
        <is>
          <t>202607-0163</t>
        </is>
      </c>
      <c r="B79" t="inlineStr">
        <is>
          <t>JE-6160</t>
        </is>
      </c>
      <c r="C79" t="inlineStr">
        <is>
          <t>2026-07-08</t>
        </is>
      </c>
      <c r="D79" t="n">
        <v>6100</v>
      </c>
      <c r="E79" t="inlineStr">
        <is>
          <t>Office Supplies</t>
        </is>
      </c>
      <c r="F79" t="inlineStr">
        <is>
          <t>UPS Store 4417</t>
        </is>
      </c>
      <c r="G79" t="inlineStr">
        <is>
          <t>UPS Store 4417 - corporate card</t>
        </is>
      </c>
      <c r="H79" t="inlineStr">
        <is>
          <t>CC-23626</t>
        </is>
      </c>
      <c r="I79" t="n">
        <v>48.54</v>
      </c>
      <c r="K79" t="inlineStr">
        <is>
          <t>Card feed</t>
        </is>
      </c>
      <c r="L79" t="inlineStr">
        <is>
          <t>system</t>
        </is>
      </c>
      <c r="M79" t="inlineStr"/>
    </row>
    <row r="80">
      <c r="A80" t="inlineStr">
        <is>
          <t>202607-0164</t>
        </is>
      </c>
      <c r="B80" t="inlineStr">
        <is>
          <t>JE-6160</t>
        </is>
      </c>
      <c r="C80" t="inlineStr">
        <is>
          <t>2026-07-08</t>
        </is>
      </c>
      <c r="D80" t="n">
        <v>2000</v>
      </c>
      <c r="E80" t="inlineStr">
        <is>
          <t>Accounts Payable</t>
        </is>
      </c>
      <c r="F80" t="inlineStr">
        <is>
          <t>UPS Store 4417</t>
        </is>
      </c>
      <c r="G80" t="inlineStr">
        <is>
          <t>UPS Store 4417 - corporate card</t>
        </is>
      </c>
      <c r="H80" t="inlineStr">
        <is>
          <t>CC-23626</t>
        </is>
      </c>
      <c r="J80" t="n">
        <v>48.54</v>
      </c>
      <c r="K80" t="inlineStr">
        <is>
          <t>Card feed</t>
        </is>
      </c>
      <c r="L80" t="inlineStr">
        <is>
          <t>system</t>
        </is>
      </c>
      <c r="M80" t="inlineStr"/>
    </row>
    <row r="81">
      <c r="A81" t="inlineStr">
        <is>
          <t>202607-0061</t>
        </is>
      </c>
      <c r="B81" t="inlineStr">
        <is>
          <t>JE-6109</t>
        </is>
      </c>
      <c r="C81" t="inlineStr">
        <is>
          <t>2026-07-09</t>
        </is>
      </c>
      <c r="D81" t="n">
        <v>6900</v>
      </c>
      <c r="E81" t="inlineStr">
        <is>
          <t>Travel &amp; Meals</t>
        </is>
      </c>
      <c r="F81" t="inlineStr">
        <is>
          <t>DoorDash for Work</t>
        </is>
      </c>
      <c r="G81" t="inlineStr">
        <is>
          <t>DoorDash for Work - corporate card</t>
        </is>
      </c>
      <c r="H81" t="inlineStr">
        <is>
          <t>CC-26566</t>
        </is>
      </c>
      <c r="I81" t="n">
        <v>118.97</v>
      </c>
      <c r="K81" t="inlineStr">
        <is>
          <t>Card feed</t>
        </is>
      </c>
      <c r="L81" t="inlineStr">
        <is>
          <t>system</t>
        </is>
      </c>
      <c r="M81" t="inlineStr"/>
    </row>
    <row r="82">
      <c r="A82" t="inlineStr">
        <is>
          <t>202607-0062</t>
        </is>
      </c>
      <c r="B82" t="inlineStr">
        <is>
          <t>JE-6109</t>
        </is>
      </c>
      <c r="C82" t="inlineStr">
        <is>
          <t>2026-07-09</t>
        </is>
      </c>
      <c r="D82" t="n">
        <v>2000</v>
      </c>
      <c r="E82" t="inlineStr">
        <is>
          <t>Accounts Payable</t>
        </is>
      </c>
      <c r="F82" t="inlineStr">
        <is>
          <t>DoorDash for Work</t>
        </is>
      </c>
      <c r="G82" t="inlineStr">
        <is>
          <t>DoorDash for Work - corporate card</t>
        </is>
      </c>
      <c r="H82" t="inlineStr">
        <is>
          <t>CC-26566</t>
        </is>
      </c>
      <c r="J82" t="n">
        <v>118.97</v>
      </c>
      <c r="K82" t="inlineStr">
        <is>
          <t>Card feed</t>
        </is>
      </c>
      <c r="L82" t="inlineStr">
        <is>
          <t>system</t>
        </is>
      </c>
      <c r="M82" t="inlineStr"/>
    </row>
    <row r="83">
      <c r="A83" t="inlineStr">
        <is>
          <t>202607-0131</t>
        </is>
      </c>
      <c r="B83" t="inlineStr">
        <is>
          <t>JE-6144</t>
        </is>
      </c>
      <c r="C83" t="inlineStr">
        <is>
          <t>2026-07-09</t>
        </is>
      </c>
      <c r="D83" t="n">
        <v>6420</v>
      </c>
      <c r="E83" t="inlineStr">
        <is>
          <t>Software Subscriptions</t>
        </is>
      </c>
      <c r="F83" t="inlineStr">
        <is>
          <t>Adobe Inc.</t>
        </is>
      </c>
      <c r="G83" t="inlineStr">
        <is>
          <t>Adobe Inc. - corporate card</t>
        </is>
      </c>
      <c r="H83" t="inlineStr">
        <is>
          <t>CC-78215</t>
        </is>
      </c>
      <c r="I83" t="n">
        <v>55</v>
      </c>
      <c r="K83" t="inlineStr">
        <is>
          <t>Card feed</t>
        </is>
      </c>
      <c r="L83" t="inlineStr">
        <is>
          <t>system</t>
        </is>
      </c>
      <c r="M83" t="inlineStr"/>
    </row>
    <row r="84">
      <c r="A84" t="inlineStr">
        <is>
          <t>202607-0132</t>
        </is>
      </c>
      <c r="B84" t="inlineStr">
        <is>
          <t>JE-6144</t>
        </is>
      </c>
      <c r="C84" t="inlineStr">
        <is>
          <t>2026-07-09</t>
        </is>
      </c>
      <c r="D84" t="n">
        <v>2000</v>
      </c>
      <c r="E84" t="inlineStr">
        <is>
          <t>Accounts Payable</t>
        </is>
      </c>
      <c r="F84" t="inlineStr">
        <is>
          <t>Adobe Inc.</t>
        </is>
      </c>
      <c r="G84" t="inlineStr">
        <is>
          <t>Adobe Inc. - corporate card</t>
        </is>
      </c>
      <c r="H84" t="inlineStr">
        <is>
          <t>CC-78215</t>
        </is>
      </c>
      <c r="J84" t="n">
        <v>55</v>
      </c>
      <c r="K84" t="inlineStr">
        <is>
          <t>Card feed</t>
        </is>
      </c>
      <c r="L84" t="inlineStr">
        <is>
          <t>system</t>
        </is>
      </c>
      <c r="M84" t="inlineStr"/>
    </row>
    <row r="85">
      <c r="A85" t="inlineStr">
        <is>
          <t>202607-0105</t>
        </is>
      </c>
      <c r="B85" t="inlineStr">
        <is>
          <t>JE-6131</t>
        </is>
      </c>
      <c r="C85" t="inlineStr">
        <is>
          <t>2026-07-10</t>
        </is>
      </c>
      <c r="D85" t="n">
        <v>6100</v>
      </c>
      <c r="E85" t="inlineStr">
        <is>
          <t>Office Supplies</t>
        </is>
      </c>
      <c r="F85" t="inlineStr">
        <is>
          <t>UPS Store 4417</t>
        </is>
      </c>
      <c r="G85" t="inlineStr">
        <is>
          <t>UPS Store 4417 - corporate card</t>
        </is>
      </c>
      <c r="H85" t="inlineStr">
        <is>
          <t>CC-66220</t>
        </is>
      </c>
      <c r="I85" t="n">
        <v>85.87</v>
      </c>
      <c r="K85" t="inlineStr">
        <is>
          <t>Card feed</t>
        </is>
      </c>
      <c r="L85" t="inlineStr">
        <is>
          <t>system</t>
        </is>
      </c>
      <c r="M85" t="inlineStr"/>
    </row>
    <row r="86">
      <c r="A86" t="inlineStr">
        <is>
          <t>202607-0106</t>
        </is>
      </c>
      <c r="B86" t="inlineStr">
        <is>
          <t>JE-6131</t>
        </is>
      </c>
      <c r="C86" t="inlineStr">
        <is>
          <t>2026-07-10</t>
        </is>
      </c>
      <c r="D86" t="n">
        <v>2000</v>
      </c>
      <c r="E86" t="inlineStr">
        <is>
          <t>Accounts Payable</t>
        </is>
      </c>
      <c r="F86" t="inlineStr">
        <is>
          <t>UPS Store 4417</t>
        </is>
      </c>
      <c r="G86" t="inlineStr">
        <is>
          <t>UPS Store 4417 - corporate card</t>
        </is>
      </c>
      <c r="H86" t="inlineStr">
        <is>
          <t>CC-66220</t>
        </is>
      </c>
      <c r="J86" t="n">
        <v>85.87</v>
      </c>
      <c r="K86" t="inlineStr">
        <is>
          <t>Card feed</t>
        </is>
      </c>
      <c r="L86" t="inlineStr">
        <is>
          <t>system</t>
        </is>
      </c>
      <c r="M86" t="inlineStr"/>
    </row>
    <row r="87">
      <c r="A87" t="inlineStr">
        <is>
          <t>202607-0011</t>
        </is>
      </c>
      <c r="B87" t="inlineStr">
        <is>
          <t>JE-6085</t>
        </is>
      </c>
      <c r="C87" t="inlineStr">
        <is>
          <t>2026-07-12</t>
        </is>
      </c>
      <c r="D87" t="n">
        <v>6300</v>
      </c>
      <c r="E87" t="inlineStr">
        <is>
          <t>Telephone &amp; Internet</t>
        </is>
      </c>
      <c r="F87" t="inlineStr">
        <is>
          <t>Verizon Business</t>
        </is>
      </c>
      <c r="G87" t="inlineStr">
        <is>
          <t>Verizon Business - monthly</t>
        </is>
      </c>
      <c r="H87" t="inlineStr">
        <is>
          <t>VER-202607-722</t>
        </is>
      </c>
      <c r="I87" t="n">
        <v>1265.4</v>
      </c>
      <c r="K87" t="inlineStr">
        <is>
          <t>AP</t>
        </is>
      </c>
      <c r="L87" t="inlineStr">
        <is>
          <t>system</t>
        </is>
      </c>
      <c r="M87" t="inlineStr"/>
    </row>
    <row r="88">
      <c r="A88" t="inlineStr">
        <is>
          <t>202607-0012</t>
        </is>
      </c>
      <c r="B88" t="inlineStr">
        <is>
          <t>JE-6085</t>
        </is>
      </c>
      <c r="C88" t="inlineStr">
        <is>
          <t>2026-07-12</t>
        </is>
      </c>
      <c r="D88" t="n">
        <v>2000</v>
      </c>
      <c r="E88" t="inlineStr">
        <is>
          <t>Accounts Payable</t>
        </is>
      </c>
      <c r="F88" t="inlineStr">
        <is>
          <t>Verizon Business</t>
        </is>
      </c>
      <c r="G88" t="inlineStr">
        <is>
          <t>Verizon Business - monthly</t>
        </is>
      </c>
      <c r="H88" t="inlineStr">
        <is>
          <t>VER-202607-722</t>
        </is>
      </c>
      <c r="J88" t="n">
        <v>1265.4</v>
      </c>
      <c r="K88" t="inlineStr">
        <is>
          <t>AP</t>
        </is>
      </c>
      <c r="L88" t="inlineStr">
        <is>
          <t>system</t>
        </is>
      </c>
      <c r="M88" t="inlineStr"/>
    </row>
    <row r="89">
      <c r="A89" t="inlineStr">
        <is>
          <t>202607-0049</t>
        </is>
      </c>
      <c r="B89" t="inlineStr">
        <is>
          <t>JE-6103</t>
        </is>
      </c>
      <c r="C89" t="inlineStr">
        <is>
          <t>2026-07-13</t>
        </is>
      </c>
      <c r="D89" t="n">
        <v>6900</v>
      </c>
      <c r="E89" t="inlineStr">
        <is>
          <t>Travel &amp; Meals</t>
        </is>
      </c>
      <c r="F89" t="inlineStr">
        <is>
          <t>Delta Air Lines</t>
        </is>
      </c>
      <c r="G89" t="inlineStr">
        <is>
          <t>Delta Air Lines - corporate card</t>
        </is>
      </c>
      <c r="H89" t="inlineStr">
        <is>
          <t>CC-77850</t>
        </is>
      </c>
      <c r="I89" t="n">
        <v>455.5</v>
      </c>
      <c r="K89" t="inlineStr">
        <is>
          <t>Card feed</t>
        </is>
      </c>
      <c r="L89" t="inlineStr">
        <is>
          <t>system</t>
        </is>
      </c>
      <c r="M89" t="inlineStr"/>
    </row>
    <row r="90">
      <c r="A90" t="inlineStr">
        <is>
          <t>202607-0050</t>
        </is>
      </c>
      <c r="B90" t="inlineStr">
        <is>
          <t>JE-6103</t>
        </is>
      </c>
      <c r="C90" t="inlineStr">
        <is>
          <t>2026-07-13</t>
        </is>
      </c>
      <c r="D90" t="n">
        <v>2000</v>
      </c>
      <c r="E90" t="inlineStr">
        <is>
          <t>Accounts Payable</t>
        </is>
      </c>
      <c r="F90" t="inlineStr">
        <is>
          <t>Delta Air Lines</t>
        </is>
      </c>
      <c r="G90" t="inlineStr">
        <is>
          <t>Delta Air Lines - corporate card</t>
        </is>
      </c>
      <c r="H90" t="inlineStr">
        <is>
          <t>CC-77850</t>
        </is>
      </c>
      <c r="J90" t="n">
        <v>455.5</v>
      </c>
      <c r="K90" t="inlineStr">
        <is>
          <t>Card feed</t>
        </is>
      </c>
      <c r="L90" t="inlineStr">
        <is>
          <t>system</t>
        </is>
      </c>
      <c r="M90" t="inlineStr"/>
    </row>
    <row r="91">
      <c r="A91" t="inlineStr">
        <is>
          <t>202607-0069</t>
        </is>
      </c>
      <c r="B91" t="inlineStr">
        <is>
          <t>JE-6113</t>
        </is>
      </c>
      <c r="C91" t="inlineStr">
        <is>
          <t>2026-07-13</t>
        </is>
      </c>
      <c r="D91" t="n">
        <v>6900</v>
      </c>
      <c r="E91" t="inlineStr">
        <is>
          <t>Travel &amp; Meals</t>
        </is>
      </c>
      <c r="F91" t="inlineStr">
        <is>
          <t>Delta Air Lines</t>
        </is>
      </c>
      <c r="G91" t="inlineStr">
        <is>
          <t>Delta Air Lines - corporate card</t>
        </is>
      </c>
      <c r="H91" t="inlineStr">
        <is>
          <t>CC-37376</t>
        </is>
      </c>
      <c r="I91" t="n">
        <v>429.12</v>
      </c>
      <c r="K91" t="inlineStr">
        <is>
          <t>Card feed</t>
        </is>
      </c>
      <c r="L91" t="inlineStr">
        <is>
          <t>system</t>
        </is>
      </c>
      <c r="M91" t="inlineStr"/>
    </row>
    <row r="92">
      <c r="A92" t="inlineStr">
        <is>
          <t>202607-0070</t>
        </is>
      </c>
      <c r="B92" t="inlineStr">
        <is>
          <t>JE-6113</t>
        </is>
      </c>
      <c r="C92" t="inlineStr">
        <is>
          <t>2026-07-13</t>
        </is>
      </c>
      <c r="D92" t="n">
        <v>2000</v>
      </c>
      <c r="E92" t="inlineStr">
        <is>
          <t>Accounts Payable</t>
        </is>
      </c>
      <c r="F92" t="inlineStr">
        <is>
          <t>Delta Air Lines</t>
        </is>
      </c>
      <c r="G92" t="inlineStr">
        <is>
          <t>Delta Air Lines - corporate card</t>
        </is>
      </c>
      <c r="H92" t="inlineStr">
        <is>
          <t>CC-37376</t>
        </is>
      </c>
      <c r="J92" t="n">
        <v>429.12</v>
      </c>
      <c r="K92" t="inlineStr">
        <is>
          <t>Card feed</t>
        </is>
      </c>
      <c r="L92" t="inlineStr">
        <is>
          <t>system</t>
        </is>
      </c>
      <c r="M92" t="inlineStr"/>
    </row>
    <row r="93">
      <c r="A93" t="inlineStr">
        <is>
          <t>202607-0081</t>
        </is>
      </c>
      <c r="B93" t="inlineStr">
        <is>
          <t>JE-6119</t>
        </is>
      </c>
      <c r="C93" t="inlineStr">
        <is>
          <t>2026-07-13</t>
        </is>
      </c>
      <c r="D93" t="n">
        <v>6100</v>
      </c>
      <c r="E93" t="inlineStr">
        <is>
          <t>Office Supplies</t>
        </is>
      </c>
      <c r="F93" t="inlineStr">
        <is>
          <t>FedEx</t>
        </is>
      </c>
      <c r="G93" t="inlineStr">
        <is>
          <t>FedEx - corporate card</t>
        </is>
      </c>
      <c r="H93" t="inlineStr">
        <is>
          <t>CC-50053</t>
        </is>
      </c>
      <c r="I93" t="n">
        <v>25.98</v>
      </c>
      <c r="K93" t="inlineStr">
        <is>
          <t>Card feed</t>
        </is>
      </c>
      <c r="L93" t="inlineStr">
        <is>
          <t>system</t>
        </is>
      </c>
      <c r="M93" t="inlineStr"/>
    </row>
    <row r="94">
      <c r="A94" t="inlineStr">
        <is>
          <t>202607-0082</t>
        </is>
      </c>
      <c r="B94" t="inlineStr">
        <is>
          <t>JE-6119</t>
        </is>
      </c>
      <c r="C94" t="inlineStr">
        <is>
          <t>2026-07-13</t>
        </is>
      </c>
      <c r="D94" t="n">
        <v>2000</v>
      </c>
      <c r="E94" t="inlineStr">
        <is>
          <t>Accounts Payable</t>
        </is>
      </c>
      <c r="F94" t="inlineStr">
        <is>
          <t>FedEx</t>
        </is>
      </c>
      <c r="G94" t="inlineStr">
        <is>
          <t>FedEx - corporate card</t>
        </is>
      </c>
      <c r="H94" t="inlineStr">
        <is>
          <t>CC-50053</t>
        </is>
      </c>
      <c r="J94" t="n">
        <v>25.98</v>
      </c>
      <c r="K94" t="inlineStr">
        <is>
          <t>Card feed</t>
        </is>
      </c>
      <c r="L94" t="inlineStr">
        <is>
          <t>system</t>
        </is>
      </c>
      <c r="M94" t="inlineStr"/>
    </row>
    <row r="95">
      <c r="A95" t="inlineStr">
        <is>
          <t>202607-0083</t>
        </is>
      </c>
      <c r="B95" t="inlineStr">
        <is>
          <t>JE-6120</t>
        </is>
      </c>
      <c r="C95" t="inlineStr">
        <is>
          <t>2026-07-13</t>
        </is>
      </c>
      <c r="D95" t="n">
        <v>6420</v>
      </c>
      <c r="E95" t="inlineStr">
        <is>
          <t>Software Subscriptions</t>
        </is>
      </c>
      <c r="F95" t="inlineStr">
        <is>
          <t>Zoom Video</t>
        </is>
      </c>
      <c r="G95" t="inlineStr">
        <is>
          <t>Zoom Video - corporate card</t>
        </is>
      </c>
      <c r="H95" t="inlineStr">
        <is>
          <t>CC-84230</t>
        </is>
      </c>
      <c r="I95" t="n">
        <v>152.77</v>
      </c>
      <c r="K95" t="inlineStr">
        <is>
          <t>Card feed</t>
        </is>
      </c>
      <c r="L95" t="inlineStr">
        <is>
          <t>system</t>
        </is>
      </c>
      <c r="M95" t="inlineStr"/>
    </row>
    <row r="96">
      <c r="A96" t="inlineStr">
        <is>
          <t>202607-0084</t>
        </is>
      </c>
      <c r="B96" t="inlineStr">
        <is>
          <t>JE-6120</t>
        </is>
      </c>
      <c r="C96" t="inlineStr">
        <is>
          <t>2026-07-13</t>
        </is>
      </c>
      <c r="D96" t="n">
        <v>2000</v>
      </c>
      <c r="E96" t="inlineStr">
        <is>
          <t>Accounts Payable</t>
        </is>
      </c>
      <c r="F96" t="inlineStr">
        <is>
          <t>Zoom Video</t>
        </is>
      </c>
      <c r="G96" t="inlineStr">
        <is>
          <t>Zoom Video - corporate card</t>
        </is>
      </c>
      <c r="H96" t="inlineStr">
        <is>
          <t>CC-84230</t>
        </is>
      </c>
      <c r="J96" t="n">
        <v>152.77</v>
      </c>
      <c r="K96" t="inlineStr">
        <is>
          <t>Card feed</t>
        </is>
      </c>
      <c r="L96" t="inlineStr">
        <is>
          <t>system</t>
        </is>
      </c>
      <c r="M96" t="inlineStr"/>
    </row>
    <row r="97">
      <c r="A97" t="inlineStr">
        <is>
          <t>202607-0137</t>
        </is>
      </c>
      <c r="B97" t="inlineStr">
        <is>
          <t>JE-6147</t>
        </is>
      </c>
      <c r="C97" t="inlineStr">
        <is>
          <t>2026-07-13</t>
        </is>
      </c>
      <c r="D97" t="n">
        <v>6420</v>
      </c>
      <c r="E97" t="inlineStr">
        <is>
          <t>Software Subscriptions</t>
        </is>
      </c>
      <c r="F97" t="inlineStr">
        <is>
          <t>Zoom Video</t>
        </is>
      </c>
      <c r="G97" t="inlineStr">
        <is>
          <t>Zoom Video - corporate card</t>
        </is>
      </c>
      <c r="H97" t="inlineStr">
        <is>
          <t>CC-78675</t>
        </is>
      </c>
      <c r="I97" t="n">
        <v>111.27</v>
      </c>
      <c r="K97" t="inlineStr">
        <is>
          <t>Card feed</t>
        </is>
      </c>
      <c r="L97" t="inlineStr">
        <is>
          <t>system</t>
        </is>
      </c>
      <c r="M97" t="inlineStr"/>
    </row>
    <row r="98">
      <c r="A98" t="inlineStr">
        <is>
          <t>202607-0138</t>
        </is>
      </c>
      <c r="B98" t="inlineStr">
        <is>
          <t>JE-6147</t>
        </is>
      </c>
      <c r="C98" t="inlineStr">
        <is>
          <t>2026-07-13</t>
        </is>
      </c>
      <c r="D98" t="n">
        <v>2000</v>
      </c>
      <c r="E98" t="inlineStr">
        <is>
          <t>Accounts Payable</t>
        </is>
      </c>
      <c r="F98" t="inlineStr">
        <is>
          <t>Zoom Video</t>
        </is>
      </c>
      <c r="G98" t="inlineStr">
        <is>
          <t>Zoom Video - corporate card</t>
        </is>
      </c>
      <c r="H98" t="inlineStr">
        <is>
          <t>CC-78675</t>
        </is>
      </c>
      <c r="J98" t="n">
        <v>111.27</v>
      </c>
      <c r="K98" t="inlineStr">
        <is>
          <t>Card feed</t>
        </is>
      </c>
      <c r="L98" t="inlineStr">
        <is>
          <t>system</t>
        </is>
      </c>
      <c r="M98" t="inlineStr"/>
    </row>
    <row r="99">
      <c r="A99" t="inlineStr">
        <is>
          <t>202607-0013</t>
        </is>
      </c>
      <c r="B99" t="inlineStr">
        <is>
          <t>JE-6086</t>
        </is>
      </c>
      <c r="C99" t="inlineStr">
        <is>
          <t>2026-07-14</t>
        </is>
      </c>
      <c r="D99" t="n">
        <v>6300</v>
      </c>
      <c r="E99" t="inlineStr">
        <is>
          <t>Telephone &amp; Internet</t>
        </is>
      </c>
      <c r="F99" t="inlineStr">
        <is>
          <t>Optimum Business</t>
        </is>
      </c>
      <c r="G99" t="inlineStr">
        <is>
          <t>Optimum Business - monthly</t>
        </is>
      </c>
      <c r="H99" t="inlineStr">
        <is>
          <t>OPT-202607-905</t>
        </is>
      </c>
      <c r="I99" t="n">
        <v>389.99</v>
      </c>
      <c r="K99" t="inlineStr">
        <is>
          <t>AP</t>
        </is>
      </c>
      <c r="L99" t="inlineStr">
        <is>
          <t>system</t>
        </is>
      </c>
      <c r="M99" t="inlineStr"/>
    </row>
    <row r="100">
      <c r="A100" t="inlineStr">
        <is>
          <t>202607-0014</t>
        </is>
      </c>
      <c r="B100" t="inlineStr">
        <is>
          <t>JE-6086</t>
        </is>
      </c>
      <c r="C100" t="inlineStr">
        <is>
          <t>2026-07-14</t>
        </is>
      </c>
      <c r="D100" t="n">
        <v>2000</v>
      </c>
      <c r="E100" t="inlineStr">
        <is>
          <t>Accounts Payable</t>
        </is>
      </c>
      <c r="F100" t="inlineStr">
        <is>
          <t>Optimum Business</t>
        </is>
      </c>
      <c r="G100" t="inlineStr">
        <is>
          <t>Optimum Business - monthly</t>
        </is>
      </c>
      <c r="H100" t="inlineStr">
        <is>
          <t>OPT-202607-905</t>
        </is>
      </c>
      <c r="J100" t="n">
        <v>389.99</v>
      </c>
      <c r="K100" t="inlineStr">
        <is>
          <t>AP</t>
        </is>
      </c>
      <c r="L100" t="inlineStr">
        <is>
          <t>system</t>
        </is>
      </c>
      <c r="M100" t="inlineStr"/>
    </row>
    <row r="101">
      <c r="A101" t="inlineStr">
        <is>
          <t>202607-0073</t>
        </is>
      </c>
      <c r="B101" t="inlineStr">
        <is>
          <t>JE-6115</t>
        </is>
      </c>
      <c r="C101" t="inlineStr">
        <is>
          <t>2026-07-14</t>
        </is>
      </c>
      <c r="D101" t="n">
        <v>6900</v>
      </c>
      <c r="E101" t="inlineStr">
        <is>
          <t>Travel &amp; Meals</t>
        </is>
      </c>
      <c r="F101" t="inlineStr">
        <is>
          <t>DoorDash for Work</t>
        </is>
      </c>
      <c r="G101" t="inlineStr">
        <is>
          <t>DoorDash for Work - corporate card</t>
        </is>
      </c>
      <c r="H101" t="inlineStr">
        <is>
          <t>CC-58645</t>
        </is>
      </c>
      <c r="I101" t="n">
        <v>172.18</v>
      </c>
      <c r="K101" t="inlineStr">
        <is>
          <t>Card feed</t>
        </is>
      </c>
      <c r="L101" t="inlineStr">
        <is>
          <t>system</t>
        </is>
      </c>
      <c r="M101" t="inlineStr"/>
    </row>
    <row r="102">
      <c r="A102" t="inlineStr">
        <is>
          <t>202607-0074</t>
        </is>
      </c>
      <c r="B102" t="inlineStr">
        <is>
          <t>JE-6115</t>
        </is>
      </c>
      <c r="C102" t="inlineStr">
        <is>
          <t>2026-07-14</t>
        </is>
      </c>
      <c r="D102" t="n">
        <v>2000</v>
      </c>
      <c r="E102" t="inlineStr">
        <is>
          <t>Accounts Payable</t>
        </is>
      </c>
      <c r="F102" t="inlineStr">
        <is>
          <t>DoorDash for Work</t>
        </is>
      </c>
      <c r="G102" t="inlineStr">
        <is>
          <t>DoorDash for Work - corporate card</t>
        </is>
      </c>
      <c r="H102" t="inlineStr">
        <is>
          <t>CC-58645</t>
        </is>
      </c>
      <c r="J102" t="n">
        <v>172.18</v>
      </c>
      <c r="K102" t="inlineStr">
        <is>
          <t>Card feed</t>
        </is>
      </c>
      <c r="L102" t="inlineStr">
        <is>
          <t>system</t>
        </is>
      </c>
      <c r="M102" t="inlineStr"/>
    </row>
    <row r="103">
      <c r="A103" t="inlineStr">
        <is>
          <t>202607-0091</t>
        </is>
      </c>
      <c r="B103" t="inlineStr">
        <is>
          <t>JE-6124</t>
        </is>
      </c>
      <c r="C103" t="inlineStr">
        <is>
          <t>2026-07-14</t>
        </is>
      </c>
      <c r="D103" t="n">
        <v>6900</v>
      </c>
      <c r="E103" t="inlineStr">
        <is>
          <t>Travel &amp; Meals</t>
        </is>
      </c>
      <c r="F103" t="inlineStr">
        <is>
          <t>Grubhub Corporate</t>
        </is>
      </c>
      <c r="G103" t="inlineStr">
        <is>
          <t>Grubhub Corporate - corporate card</t>
        </is>
      </c>
      <c r="H103" t="inlineStr">
        <is>
          <t>CC-96379</t>
        </is>
      </c>
      <c r="I103" t="n">
        <v>66.04000000000001</v>
      </c>
      <c r="K103" t="inlineStr">
        <is>
          <t>Card feed</t>
        </is>
      </c>
      <c r="L103" t="inlineStr">
        <is>
          <t>system</t>
        </is>
      </c>
      <c r="M103" t="inlineStr"/>
    </row>
    <row r="104">
      <c r="A104" t="inlineStr">
        <is>
          <t>202607-0092</t>
        </is>
      </c>
      <c r="B104" t="inlineStr">
        <is>
          <t>JE-6124</t>
        </is>
      </c>
      <c r="C104" t="inlineStr">
        <is>
          <t>2026-07-14</t>
        </is>
      </c>
      <c r="D104" t="n">
        <v>2000</v>
      </c>
      <c r="E104" t="inlineStr">
        <is>
          <t>Accounts Payable</t>
        </is>
      </c>
      <c r="F104" t="inlineStr">
        <is>
          <t>Grubhub Corporate</t>
        </is>
      </c>
      <c r="G104" t="inlineStr">
        <is>
          <t>Grubhub Corporate - corporate card</t>
        </is>
      </c>
      <c r="H104" t="inlineStr">
        <is>
          <t>CC-96379</t>
        </is>
      </c>
      <c r="J104" t="n">
        <v>66.04000000000001</v>
      </c>
      <c r="K104" t="inlineStr">
        <is>
          <t>Card feed</t>
        </is>
      </c>
      <c r="L104" t="inlineStr">
        <is>
          <t>system</t>
        </is>
      </c>
      <c r="M104" t="inlineStr"/>
    </row>
    <row r="105">
      <c r="A105" t="inlineStr">
        <is>
          <t>202607-0021</t>
        </is>
      </c>
      <c r="B105" t="inlineStr">
        <is>
          <t>JE-6090</t>
        </is>
      </c>
      <c r="C105" t="inlineStr">
        <is>
          <t>2026-07-15</t>
        </is>
      </c>
      <c r="D105" t="n">
        <v>6700</v>
      </c>
      <c r="E105" t="inlineStr">
        <is>
          <t>Insurance</t>
        </is>
      </c>
      <c r="F105" t="inlineStr">
        <is>
          <t>Hartwell Cyber Insurance</t>
        </is>
      </c>
      <c r="G105" t="inlineStr">
        <is>
          <t>Hartwell Cyber Insurance - monthly</t>
        </is>
      </c>
      <c r="H105" t="inlineStr">
        <is>
          <t>HAR-202607-233</t>
        </is>
      </c>
      <c r="I105" t="n">
        <v>2210</v>
      </c>
      <c r="K105" t="inlineStr">
        <is>
          <t>AP</t>
        </is>
      </c>
      <c r="L105" t="inlineStr">
        <is>
          <t>system</t>
        </is>
      </c>
      <c r="M105" t="inlineStr"/>
    </row>
    <row r="106">
      <c r="A106" t="inlineStr">
        <is>
          <t>202607-0022</t>
        </is>
      </c>
      <c r="B106" t="inlineStr">
        <is>
          <t>JE-6090</t>
        </is>
      </c>
      <c r="C106" t="inlineStr">
        <is>
          <t>2026-07-15</t>
        </is>
      </c>
      <c r="D106" t="n">
        <v>2000</v>
      </c>
      <c r="E106" t="inlineStr">
        <is>
          <t>Accounts Payable</t>
        </is>
      </c>
      <c r="F106" t="inlineStr">
        <is>
          <t>Hartwell Cyber Insurance</t>
        </is>
      </c>
      <c r="G106" t="inlineStr">
        <is>
          <t>Hartwell Cyber Insurance - monthly</t>
        </is>
      </c>
      <c r="H106" t="inlineStr">
        <is>
          <t>HAR-202607-233</t>
        </is>
      </c>
      <c r="J106" t="n">
        <v>2210</v>
      </c>
      <c r="K106" t="inlineStr">
        <is>
          <t>AP</t>
        </is>
      </c>
      <c r="L106" t="inlineStr">
        <is>
          <t>system</t>
        </is>
      </c>
      <c r="M106" t="inlineStr"/>
    </row>
    <row r="107">
      <c r="A107" t="inlineStr">
        <is>
          <t>202607-0025</t>
        </is>
      </c>
      <c r="B107" t="inlineStr">
        <is>
          <t>JE-6092</t>
        </is>
      </c>
      <c r="C107" t="inlineStr">
        <is>
          <t>2026-07-15</t>
        </is>
      </c>
      <c r="D107" t="n">
        <v>5000</v>
      </c>
      <c r="E107" t="inlineStr">
        <is>
          <t>Salaries &amp; Wages</t>
        </is>
      </c>
      <c r="F107" t="inlineStr">
        <is>
          <t>ADP</t>
        </is>
      </c>
      <c r="G107" t="inlineStr">
        <is>
          <t>Payroll - semi-monthly</t>
        </is>
      </c>
      <c r="H107" t="inlineStr">
        <is>
          <t>PR</t>
        </is>
      </c>
      <c r="I107" t="n">
        <v>187336.04</v>
      </c>
      <c r="K107" t="inlineStr">
        <is>
          <t>Payroll</t>
        </is>
      </c>
      <c r="L107" t="inlineStr">
        <is>
          <t>system</t>
        </is>
      </c>
      <c r="M107" t="inlineStr"/>
    </row>
    <row r="108">
      <c r="A108" t="inlineStr">
        <is>
          <t>202607-0026</t>
        </is>
      </c>
      <c r="B108" t="inlineStr">
        <is>
          <t>JE-6092</t>
        </is>
      </c>
      <c r="C108" t="inlineStr">
        <is>
          <t>2026-07-15</t>
        </is>
      </c>
      <c r="D108" t="n">
        <v>5100</v>
      </c>
      <c r="E108" t="inlineStr">
        <is>
          <t>Payroll Taxes &amp; Benefits</t>
        </is>
      </c>
      <c r="F108" t="inlineStr">
        <is>
          <t>ADP</t>
        </is>
      </c>
      <c r="G108" t="inlineStr">
        <is>
          <t>Employer taxes &amp; benefits</t>
        </is>
      </c>
      <c r="H108" t="inlineStr">
        <is>
          <t>PR</t>
        </is>
      </c>
      <c r="I108" t="n">
        <v>22105.65</v>
      </c>
      <c r="K108" t="inlineStr">
        <is>
          <t>Payroll</t>
        </is>
      </c>
      <c r="L108" t="inlineStr">
        <is>
          <t>system</t>
        </is>
      </c>
      <c r="M108" t="inlineStr"/>
    </row>
    <row r="109">
      <c r="A109" t="inlineStr">
        <is>
          <t>202607-0027</t>
        </is>
      </c>
      <c r="B109" t="inlineStr">
        <is>
          <t>JE-6092</t>
        </is>
      </c>
      <c r="C109" t="inlineStr">
        <is>
          <t>2026-07-15</t>
        </is>
      </c>
      <c r="D109" t="n">
        <v>1000</v>
      </c>
      <c r="E109" t="inlineStr">
        <is>
          <t>Operating Cash - First Harbor Bank</t>
        </is>
      </c>
      <c r="F109" t="inlineStr">
        <is>
          <t>ADP</t>
        </is>
      </c>
      <c r="G109" t="inlineStr">
        <is>
          <t>Payroll funding</t>
        </is>
      </c>
      <c r="H109" t="inlineStr">
        <is>
          <t>PR</t>
        </is>
      </c>
      <c r="J109" t="n">
        <v>209441.69</v>
      </c>
      <c r="K109" t="inlineStr">
        <is>
          <t>Payroll</t>
        </is>
      </c>
      <c r="L109" t="inlineStr">
        <is>
          <t>system</t>
        </is>
      </c>
      <c r="M109" t="inlineStr"/>
    </row>
    <row r="110">
      <c r="A110" t="inlineStr">
        <is>
          <t>202607-0047</t>
        </is>
      </c>
      <c r="B110" t="inlineStr">
        <is>
          <t>JE-6102</t>
        </is>
      </c>
      <c r="C110" t="inlineStr">
        <is>
          <t>2026-07-15</t>
        </is>
      </c>
      <c r="D110" t="n">
        <v>6100</v>
      </c>
      <c r="E110" t="inlineStr">
        <is>
          <t>Office Supplies</t>
        </is>
      </c>
      <c r="F110" t="inlineStr">
        <is>
          <t>Uline</t>
        </is>
      </c>
      <c r="G110" t="inlineStr">
        <is>
          <t>Uline - corporate card</t>
        </is>
      </c>
      <c r="H110" t="inlineStr">
        <is>
          <t>CC-58679</t>
        </is>
      </c>
      <c r="I110" t="n">
        <v>362.79</v>
      </c>
      <c r="K110" t="inlineStr">
        <is>
          <t>Card feed</t>
        </is>
      </c>
      <c r="L110" t="inlineStr">
        <is>
          <t>system</t>
        </is>
      </c>
      <c r="M110" t="inlineStr"/>
    </row>
    <row r="111">
      <c r="A111" t="inlineStr">
        <is>
          <t>202607-0048</t>
        </is>
      </c>
      <c r="B111" t="inlineStr">
        <is>
          <t>JE-6102</t>
        </is>
      </c>
      <c r="C111" t="inlineStr">
        <is>
          <t>2026-07-15</t>
        </is>
      </c>
      <c r="D111" t="n">
        <v>2000</v>
      </c>
      <c r="E111" t="inlineStr">
        <is>
          <t>Accounts Payable</t>
        </is>
      </c>
      <c r="F111" t="inlineStr">
        <is>
          <t>Uline</t>
        </is>
      </c>
      <c r="G111" t="inlineStr">
        <is>
          <t>Uline - corporate card</t>
        </is>
      </c>
      <c r="H111" t="inlineStr">
        <is>
          <t>CC-58679</t>
        </is>
      </c>
      <c r="J111" t="n">
        <v>362.79</v>
      </c>
      <c r="K111" t="inlineStr">
        <is>
          <t>Card feed</t>
        </is>
      </c>
      <c r="L111" t="inlineStr">
        <is>
          <t>system</t>
        </is>
      </c>
      <c r="M111" t="inlineStr"/>
    </row>
    <row r="112">
      <c r="A112" t="inlineStr">
        <is>
          <t>202607-0089</t>
        </is>
      </c>
      <c r="B112" t="inlineStr">
        <is>
          <t>JE-6123</t>
        </is>
      </c>
      <c r="C112" t="inlineStr">
        <is>
          <t>2026-07-15</t>
        </is>
      </c>
      <c r="D112" t="n">
        <v>6900</v>
      </c>
      <c r="E112" t="inlineStr">
        <is>
          <t>Travel &amp; Meals</t>
        </is>
      </c>
      <c r="F112" t="inlineStr">
        <is>
          <t>DoorDash for Work</t>
        </is>
      </c>
      <c r="G112" t="inlineStr">
        <is>
          <t>DoorDash for Work - corporate card</t>
        </is>
      </c>
      <c r="H112" t="inlineStr">
        <is>
          <t>CC-35131</t>
        </is>
      </c>
      <c r="I112" t="n">
        <v>194.11</v>
      </c>
      <c r="K112" t="inlineStr">
        <is>
          <t>Card feed</t>
        </is>
      </c>
      <c r="L112" t="inlineStr">
        <is>
          <t>system</t>
        </is>
      </c>
      <c r="M112" t="inlineStr"/>
    </row>
    <row r="113">
      <c r="A113" t="inlineStr">
        <is>
          <t>202607-0090</t>
        </is>
      </c>
      <c r="B113" t="inlineStr">
        <is>
          <t>JE-6123</t>
        </is>
      </c>
      <c r="C113" t="inlineStr">
        <is>
          <t>2026-07-15</t>
        </is>
      </c>
      <c r="D113" t="n">
        <v>2000</v>
      </c>
      <c r="E113" t="inlineStr">
        <is>
          <t>Accounts Payable</t>
        </is>
      </c>
      <c r="F113" t="inlineStr">
        <is>
          <t>DoorDash for Work</t>
        </is>
      </c>
      <c r="G113" t="inlineStr">
        <is>
          <t>DoorDash for Work - corporate card</t>
        </is>
      </c>
      <c r="H113" t="inlineStr">
        <is>
          <t>CC-35131</t>
        </is>
      </c>
      <c r="J113" t="n">
        <v>194.11</v>
      </c>
      <c r="K113" t="inlineStr">
        <is>
          <t>Card feed</t>
        </is>
      </c>
      <c r="L113" t="inlineStr">
        <is>
          <t>system</t>
        </is>
      </c>
      <c r="M113" t="inlineStr"/>
    </row>
    <row r="114">
      <c r="A114" t="inlineStr">
        <is>
          <t>202607-0111</t>
        </is>
      </c>
      <c r="B114" t="inlineStr">
        <is>
          <t>JE-6134</t>
        </is>
      </c>
      <c r="C114" t="inlineStr">
        <is>
          <t>2026-07-15</t>
        </is>
      </c>
      <c r="D114" t="n">
        <v>6900</v>
      </c>
      <c r="E114" t="inlineStr">
        <is>
          <t>Travel &amp; Meals</t>
        </is>
      </c>
      <c r="F114" t="inlineStr">
        <is>
          <t>Delta Air Lines</t>
        </is>
      </c>
      <c r="G114" t="inlineStr">
        <is>
          <t>Delta Air Lines - corporate card</t>
        </is>
      </c>
      <c r="H114" t="inlineStr">
        <is>
          <t>CC-94455</t>
        </is>
      </c>
      <c r="I114" t="n">
        <v>391.3</v>
      </c>
      <c r="K114" t="inlineStr">
        <is>
          <t>Card feed</t>
        </is>
      </c>
      <c r="L114" t="inlineStr">
        <is>
          <t>system</t>
        </is>
      </c>
      <c r="M114" t="inlineStr"/>
    </row>
    <row r="115">
      <c r="A115" t="inlineStr">
        <is>
          <t>202607-0112</t>
        </is>
      </c>
      <c r="B115" t="inlineStr">
        <is>
          <t>JE-6134</t>
        </is>
      </c>
      <c r="C115" t="inlineStr">
        <is>
          <t>2026-07-15</t>
        </is>
      </c>
      <c r="D115" t="n">
        <v>2000</v>
      </c>
      <c r="E115" t="inlineStr">
        <is>
          <t>Accounts Payable</t>
        </is>
      </c>
      <c r="F115" t="inlineStr">
        <is>
          <t>Delta Air Lines</t>
        </is>
      </c>
      <c r="G115" t="inlineStr">
        <is>
          <t>Delta Air Lines - corporate card</t>
        </is>
      </c>
      <c r="H115" t="inlineStr">
        <is>
          <t>CC-94455</t>
        </is>
      </c>
      <c r="J115" t="n">
        <v>391.3</v>
      </c>
      <c r="K115" t="inlineStr">
        <is>
          <t>Card feed</t>
        </is>
      </c>
      <c r="L115" t="inlineStr">
        <is>
          <t>system</t>
        </is>
      </c>
      <c r="M115" t="inlineStr"/>
    </row>
    <row r="116">
      <c r="A116" t="inlineStr">
        <is>
          <t>202607-0065</t>
        </is>
      </c>
      <c r="B116" t="inlineStr">
        <is>
          <t>JE-6111</t>
        </is>
      </c>
      <c r="C116" t="inlineStr">
        <is>
          <t>2026-07-16</t>
        </is>
      </c>
      <c r="D116" t="n">
        <v>6100</v>
      </c>
      <c r="E116" t="inlineStr">
        <is>
          <t>Office Supplies</t>
        </is>
      </c>
      <c r="F116" t="inlineStr">
        <is>
          <t>Uline</t>
        </is>
      </c>
      <c r="G116" t="inlineStr">
        <is>
          <t>Uline - corporate card</t>
        </is>
      </c>
      <c r="H116" t="inlineStr">
        <is>
          <t>CC-77576</t>
        </is>
      </c>
      <c r="I116" t="n">
        <v>185.67</v>
      </c>
      <c r="K116" t="inlineStr">
        <is>
          <t>Card feed</t>
        </is>
      </c>
      <c r="L116" t="inlineStr">
        <is>
          <t>system</t>
        </is>
      </c>
      <c r="M116" t="inlineStr"/>
    </row>
    <row r="117">
      <c r="A117" t="inlineStr">
        <is>
          <t>202607-0066</t>
        </is>
      </c>
      <c r="B117" t="inlineStr">
        <is>
          <t>JE-6111</t>
        </is>
      </c>
      <c r="C117" t="inlineStr">
        <is>
          <t>2026-07-16</t>
        </is>
      </c>
      <c r="D117" t="n">
        <v>2000</v>
      </c>
      <c r="E117" t="inlineStr">
        <is>
          <t>Accounts Payable</t>
        </is>
      </c>
      <c r="F117" t="inlineStr">
        <is>
          <t>Uline</t>
        </is>
      </c>
      <c r="G117" t="inlineStr">
        <is>
          <t>Uline - corporate card</t>
        </is>
      </c>
      <c r="H117" t="inlineStr">
        <is>
          <t>CC-77576</t>
        </is>
      </c>
      <c r="J117" t="n">
        <v>185.67</v>
      </c>
      <c r="K117" t="inlineStr">
        <is>
          <t>Card feed</t>
        </is>
      </c>
      <c r="L117" t="inlineStr">
        <is>
          <t>system</t>
        </is>
      </c>
      <c r="M117" t="inlineStr"/>
    </row>
    <row r="118">
      <c r="A118" t="inlineStr">
        <is>
          <t>202607-0099</t>
        </is>
      </c>
      <c r="B118" t="inlineStr">
        <is>
          <t>JE-6128</t>
        </is>
      </c>
      <c r="C118" t="inlineStr">
        <is>
          <t>2026-07-16</t>
        </is>
      </c>
      <c r="D118" t="n">
        <v>6100</v>
      </c>
      <c r="E118" t="inlineStr">
        <is>
          <t>Office Supplies</t>
        </is>
      </c>
      <c r="F118" t="inlineStr">
        <is>
          <t>UPS Store 4417</t>
        </is>
      </c>
      <c r="G118" t="inlineStr">
        <is>
          <t>UPS Store 4417 - corporate card</t>
        </is>
      </c>
      <c r="H118" t="inlineStr">
        <is>
          <t>CC-95437</t>
        </is>
      </c>
      <c r="I118" t="n">
        <v>84.69</v>
      </c>
      <c r="K118" t="inlineStr">
        <is>
          <t>Card feed</t>
        </is>
      </c>
      <c r="L118" t="inlineStr">
        <is>
          <t>system</t>
        </is>
      </c>
      <c r="M118" t="inlineStr"/>
    </row>
    <row r="119">
      <c r="A119" t="inlineStr">
        <is>
          <t>202607-0100</t>
        </is>
      </c>
      <c r="B119" t="inlineStr">
        <is>
          <t>JE-6128</t>
        </is>
      </c>
      <c r="C119" t="inlineStr">
        <is>
          <t>2026-07-16</t>
        </is>
      </c>
      <c r="D119" t="n">
        <v>2000</v>
      </c>
      <c r="E119" t="inlineStr">
        <is>
          <t>Accounts Payable</t>
        </is>
      </c>
      <c r="F119" t="inlineStr">
        <is>
          <t>UPS Store 4417</t>
        </is>
      </c>
      <c r="G119" t="inlineStr">
        <is>
          <t>UPS Store 4417 - corporate card</t>
        </is>
      </c>
      <c r="H119" t="inlineStr">
        <is>
          <t>CC-95437</t>
        </is>
      </c>
      <c r="J119" t="n">
        <v>84.69</v>
      </c>
      <c r="K119" t="inlineStr">
        <is>
          <t>Card feed</t>
        </is>
      </c>
      <c r="L119" t="inlineStr">
        <is>
          <t>system</t>
        </is>
      </c>
      <c r="M119" t="inlineStr"/>
    </row>
    <row r="120">
      <c r="A120" t="inlineStr">
        <is>
          <t>202607-0097</t>
        </is>
      </c>
      <c r="B120" t="inlineStr">
        <is>
          <t>JE-6127</t>
        </is>
      </c>
      <c r="C120" t="inlineStr">
        <is>
          <t>2026-07-17</t>
        </is>
      </c>
      <c r="D120" t="n">
        <v>6420</v>
      </c>
      <c r="E120" t="inlineStr">
        <is>
          <t>Software Subscriptions</t>
        </is>
      </c>
      <c r="F120" t="inlineStr">
        <is>
          <t>Zoom Video</t>
        </is>
      </c>
      <c r="G120" t="inlineStr">
        <is>
          <t>Zoom Video - corporate card</t>
        </is>
      </c>
      <c r="H120" t="inlineStr">
        <is>
          <t>CC-43388</t>
        </is>
      </c>
      <c r="I120" t="n">
        <v>113.73</v>
      </c>
      <c r="K120" t="inlineStr">
        <is>
          <t>Card feed</t>
        </is>
      </c>
      <c r="L120" t="inlineStr">
        <is>
          <t>system</t>
        </is>
      </c>
      <c r="M120" t="inlineStr"/>
    </row>
    <row r="121">
      <c r="A121" t="inlineStr">
        <is>
          <t>202607-0098</t>
        </is>
      </c>
      <c r="B121" t="inlineStr">
        <is>
          <t>JE-6127</t>
        </is>
      </c>
      <c r="C121" t="inlineStr">
        <is>
          <t>2026-07-17</t>
        </is>
      </c>
      <c r="D121" t="n">
        <v>2000</v>
      </c>
      <c r="E121" t="inlineStr">
        <is>
          <t>Accounts Payable</t>
        </is>
      </c>
      <c r="F121" t="inlineStr">
        <is>
          <t>Zoom Video</t>
        </is>
      </c>
      <c r="G121" t="inlineStr">
        <is>
          <t>Zoom Video - corporate card</t>
        </is>
      </c>
      <c r="H121" t="inlineStr">
        <is>
          <t>CC-43388</t>
        </is>
      </c>
      <c r="J121" t="n">
        <v>113.73</v>
      </c>
      <c r="K121" t="inlineStr">
        <is>
          <t>Card feed</t>
        </is>
      </c>
      <c r="L121" t="inlineStr">
        <is>
          <t>system</t>
        </is>
      </c>
      <c r="M121" t="inlineStr"/>
    </row>
    <row r="122">
      <c r="A122" t="inlineStr">
        <is>
          <t>202607-0017</t>
        </is>
      </c>
      <c r="B122" t="inlineStr">
        <is>
          <t>JE-6088</t>
        </is>
      </c>
      <c r="C122" t="inlineStr">
        <is>
          <t>2026-07-20</t>
        </is>
      </c>
      <c r="D122" t="n">
        <v>6500</v>
      </c>
      <c r="E122" t="inlineStr">
        <is>
          <t>Records Storage &amp; Destruction</t>
        </is>
      </c>
      <c r="F122" t="inlineStr">
        <is>
          <t>Shred-Right Inc.</t>
        </is>
      </c>
      <c r="G122" t="inlineStr">
        <is>
          <t>Shred-Right Inc. - monthly</t>
        </is>
      </c>
      <c r="H122" t="inlineStr">
        <is>
          <t>SHR-202607-631</t>
        </is>
      </c>
      <c r="I122" t="n">
        <v>640</v>
      </c>
      <c r="K122" t="inlineStr">
        <is>
          <t>AP</t>
        </is>
      </c>
      <c r="L122" t="inlineStr">
        <is>
          <t>system</t>
        </is>
      </c>
      <c r="M122" t="inlineStr"/>
    </row>
    <row r="123">
      <c r="A123" t="inlineStr">
        <is>
          <t>202607-0018</t>
        </is>
      </c>
      <c r="B123" t="inlineStr">
        <is>
          <t>JE-6088</t>
        </is>
      </c>
      <c r="C123" t="inlineStr">
        <is>
          <t>2026-07-20</t>
        </is>
      </c>
      <c r="D123" t="n">
        <v>2000</v>
      </c>
      <c r="E123" t="inlineStr">
        <is>
          <t>Accounts Payable</t>
        </is>
      </c>
      <c r="F123" t="inlineStr">
        <is>
          <t>Shred-Right Inc.</t>
        </is>
      </c>
      <c r="G123" t="inlineStr">
        <is>
          <t>Shred-Right Inc. - monthly</t>
        </is>
      </c>
      <c r="H123" t="inlineStr">
        <is>
          <t>SHR-202607-631</t>
        </is>
      </c>
      <c r="J123" t="n">
        <v>640</v>
      </c>
      <c r="K123" t="inlineStr">
        <is>
          <t>AP</t>
        </is>
      </c>
      <c r="L123" t="inlineStr">
        <is>
          <t>system</t>
        </is>
      </c>
      <c r="M123" t="inlineStr"/>
    </row>
    <row r="124">
      <c r="A124" t="inlineStr">
        <is>
          <t>202607-0051</t>
        </is>
      </c>
      <c r="B124" t="inlineStr">
        <is>
          <t>JE-6104</t>
        </is>
      </c>
      <c r="C124" t="inlineStr">
        <is>
          <t>2026-07-20</t>
        </is>
      </c>
      <c r="D124" t="n">
        <v>6100</v>
      </c>
      <c r="E124" t="inlineStr">
        <is>
          <t>Office Supplies</t>
        </is>
      </c>
      <c r="F124" t="inlineStr">
        <is>
          <t>UPS Store 4417</t>
        </is>
      </c>
      <c r="G124" t="inlineStr">
        <is>
          <t>UPS Store 4417 - corporate card</t>
        </is>
      </c>
      <c r="H124" t="inlineStr">
        <is>
          <t>CC-88792</t>
        </is>
      </c>
      <c r="I124" t="n">
        <v>25.05</v>
      </c>
      <c r="K124" t="inlineStr">
        <is>
          <t>Card feed</t>
        </is>
      </c>
      <c r="L124" t="inlineStr">
        <is>
          <t>system</t>
        </is>
      </c>
      <c r="M124" t="inlineStr"/>
    </row>
    <row r="125">
      <c r="A125" t="inlineStr">
        <is>
          <t>202607-0052</t>
        </is>
      </c>
      <c r="B125" t="inlineStr">
        <is>
          <t>JE-6104</t>
        </is>
      </c>
      <c r="C125" t="inlineStr">
        <is>
          <t>2026-07-20</t>
        </is>
      </c>
      <c r="D125" t="n">
        <v>2000</v>
      </c>
      <c r="E125" t="inlineStr">
        <is>
          <t>Accounts Payable</t>
        </is>
      </c>
      <c r="F125" t="inlineStr">
        <is>
          <t>UPS Store 4417</t>
        </is>
      </c>
      <c r="G125" t="inlineStr">
        <is>
          <t>UPS Store 4417 - corporate card</t>
        </is>
      </c>
      <c r="H125" t="inlineStr">
        <is>
          <t>CC-88792</t>
        </is>
      </c>
      <c r="J125" t="n">
        <v>25.05</v>
      </c>
      <c r="K125" t="inlineStr">
        <is>
          <t>Card feed</t>
        </is>
      </c>
      <c r="L125" t="inlineStr">
        <is>
          <t>system</t>
        </is>
      </c>
      <c r="M125" t="inlineStr"/>
    </row>
    <row r="126">
      <c r="A126" t="inlineStr">
        <is>
          <t>202607-0053</t>
        </is>
      </c>
      <c r="B126" t="inlineStr">
        <is>
          <t>JE-6105</t>
        </is>
      </c>
      <c r="C126" t="inlineStr">
        <is>
          <t>2026-07-20</t>
        </is>
      </c>
      <c r="D126" t="n">
        <v>6420</v>
      </c>
      <c r="E126" t="inlineStr">
        <is>
          <t>Software Subscriptions</t>
        </is>
      </c>
      <c r="F126" t="inlineStr">
        <is>
          <t>Zoom Video</t>
        </is>
      </c>
      <c r="G126" t="inlineStr">
        <is>
          <t>Zoom Video - corporate card</t>
        </is>
      </c>
      <c r="H126" t="inlineStr">
        <is>
          <t>CC-17395</t>
        </is>
      </c>
      <c r="I126" t="n">
        <v>116.01</v>
      </c>
      <c r="K126" t="inlineStr">
        <is>
          <t>Card feed</t>
        </is>
      </c>
      <c r="L126" t="inlineStr">
        <is>
          <t>system</t>
        </is>
      </c>
      <c r="M126" t="inlineStr"/>
    </row>
    <row r="127">
      <c r="A127" t="inlineStr">
        <is>
          <t>202607-0054</t>
        </is>
      </c>
      <c r="B127" t="inlineStr">
        <is>
          <t>JE-6105</t>
        </is>
      </c>
      <c r="C127" t="inlineStr">
        <is>
          <t>2026-07-20</t>
        </is>
      </c>
      <c r="D127" t="n">
        <v>2000</v>
      </c>
      <c r="E127" t="inlineStr">
        <is>
          <t>Accounts Payable</t>
        </is>
      </c>
      <c r="F127" t="inlineStr">
        <is>
          <t>Zoom Video</t>
        </is>
      </c>
      <c r="G127" t="inlineStr">
        <is>
          <t>Zoom Video - corporate card</t>
        </is>
      </c>
      <c r="H127" t="inlineStr">
        <is>
          <t>CC-17395</t>
        </is>
      </c>
      <c r="J127" t="n">
        <v>116.01</v>
      </c>
      <c r="K127" t="inlineStr">
        <is>
          <t>Card feed</t>
        </is>
      </c>
      <c r="L127" t="inlineStr">
        <is>
          <t>system</t>
        </is>
      </c>
      <c r="M127" t="inlineStr"/>
    </row>
    <row r="128">
      <c r="A128" t="inlineStr">
        <is>
          <t>202607-0093</t>
        </is>
      </c>
      <c r="B128" t="inlineStr">
        <is>
          <t>JE-6125</t>
        </is>
      </c>
      <c r="C128" t="inlineStr">
        <is>
          <t>2026-07-20</t>
        </is>
      </c>
      <c r="D128" t="n">
        <v>6100</v>
      </c>
      <c r="E128" t="inlineStr">
        <is>
          <t>Office Supplies</t>
        </is>
      </c>
      <c r="F128" t="inlineStr">
        <is>
          <t>Staples Business</t>
        </is>
      </c>
      <c r="G128" t="inlineStr">
        <is>
          <t>Staples Business - corporate card</t>
        </is>
      </c>
      <c r="H128" t="inlineStr">
        <is>
          <t>CC-81302</t>
        </is>
      </c>
      <c r="I128" t="n">
        <v>238.37</v>
      </c>
      <c r="K128" t="inlineStr">
        <is>
          <t>Card feed</t>
        </is>
      </c>
      <c r="L128" t="inlineStr">
        <is>
          <t>system</t>
        </is>
      </c>
      <c r="M128" t="inlineStr"/>
    </row>
    <row r="129">
      <c r="A129" t="inlineStr">
        <is>
          <t>202607-0094</t>
        </is>
      </c>
      <c r="B129" t="inlineStr">
        <is>
          <t>JE-6125</t>
        </is>
      </c>
      <c r="C129" t="inlineStr">
        <is>
          <t>2026-07-20</t>
        </is>
      </c>
      <c r="D129" t="n">
        <v>2000</v>
      </c>
      <c r="E129" t="inlineStr">
        <is>
          <t>Accounts Payable</t>
        </is>
      </c>
      <c r="F129" t="inlineStr">
        <is>
          <t>Staples Business</t>
        </is>
      </c>
      <c r="G129" t="inlineStr">
        <is>
          <t>Staples Business - corporate card</t>
        </is>
      </c>
      <c r="H129" t="inlineStr">
        <is>
          <t>CC-81302</t>
        </is>
      </c>
      <c r="J129" t="n">
        <v>238.37</v>
      </c>
      <c r="K129" t="inlineStr">
        <is>
          <t>Card feed</t>
        </is>
      </c>
      <c r="L129" t="inlineStr">
        <is>
          <t>system</t>
        </is>
      </c>
      <c r="M129" t="inlineStr"/>
    </row>
    <row r="130">
      <c r="A130" t="inlineStr">
        <is>
          <t>202607-0141</t>
        </is>
      </c>
      <c r="B130" t="inlineStr">
        <is>
          <t>JE-6149</t>
        </is>
      </c>
      <c r="C130" t="inlineStr">
        <is>
          <t>2026-07-21</t>
        </is>
      </c>
      <c r="D130" t="n">
        <v>6100</v>
      </c>
      <c r="E130" t="inlineStr">
        <is>
          <t>Office Supplies</t>
        </is>
      </c>
      <c r="F130" t="inlineStr">
        <is>
          <t>UPS Store 4417</t>
        </is>
      </c>
      <c r="G130" t="inlineStr">
        <is>
          <t>UPS Store 4417 - corporate card</t>
        </is>
      </c>
      <c r="H130" t="inlineStr">
        <is>
          <t>CC-70825</t>
        </is>
      </c>
      <c r="I130" t="n">
        <v>70.42</v>
      </c>
      <c r="K130" t="inlineStr">
        <is>
          <t>Card feed</t>
        </is>
      </c>
      <c r="L130" t="inlineStr">
        <is>
          <t>system</t>
        </is>
      </c>
      <c r="M130" t="inlineStr"/>
    </row>
    <row r="131">
      <c r="A131" t="inlineStr">
        <is>
          <t>202607-0142</t>
        </is>
      </c>
      <c r="B131" t="inlineStr">
        <is>
          <t>JE-6149</t>
        </is>
      </c>
      <c r="C131" t="inlineStr">
        <is>
          <t>2026-07-21</t>
        </is>
      </c>
      <c r="D131" t="n">
        <v>2000</v>
      </c>
      <c r="E131" t="inlineStr">
        <is>
          <t>Accounts Payable</t>
        </is>
      </c>
      <c r="F131" t="inlineStr">
        <is>
          <t>UPS Store 4417</t>
        </is>
      </c>
      <c r="G131" t="inlineStr">
        <is>
          <t>UPS Store 4417 - corporate card</t>
        </is>
      </c>
      <c r="H131" t="inlineStr">
        <is>
          <t>CC-70825</t>
        </is>
      </c>
      <c r="J131" t="n">
        <v>70.42</v>
      </c>
      <c r="K131" t="inlineStr">
        <is>
          <t>Card feed</t>
        </is>
      </c>
      <c r="L131" t="inlineStr">
        <is>
          <t>system</t>
        </is>
      </c>
      <c r="M131" t="inlineStr"/>
    </row>
    <row r="132">
      <c r="A132" t="inlineStr">
        <is>
          <t>202607-0147</t>
        </is>
      </c>
      <c r="B132" t="inlineStr">
        <is>
          <t>JE-6152</t>
        </is>
      </c>
      <c r="C132" t="inlineStr">
        <is>
          <t>2026-07-21</t>
        </is>
      </c>
      <c r="D132" t="n">
        <v>6100</v>
      </c>
      <c r="E132" t="inlineStr">
        <is>
          <t>Office Supplies</t>
        </is>
      </c>
      <c r="F132" t="inlineStr">
        <is>
          <t>Staples Business</t>
        </is>
      </c>
      <c r="G132" t="inlineStr">
        <is>
          <t>Staples Business - corporate card</t>
        </is>
      </c>
      <c r="H132" t="inlineStr">
        <is>
          <t>CC-35445</t>
        </is>
      </c>
      <c r="I132" t="n">
        <v>164.85</v>
      </c>
      <c r="K132" t="inlineStr">
        <is>
          <t>Card feed</t>
        </is>
      </c>
      <c r="L132" t="inlineStr">
        <is>
          <t>system</t>
        </is>
      </c>
      <c r="M132" t="inlineStr"/>
    </row>
    <row r="133">
      <c r="A133" t="inlineStr">
        <is>
          <t>202607-0148</t>
        </is>
      </c>
      <c r="B133" t="inlineStr">
        <is>
          <t>JE-6152</t>
        </is>
      </c>
      <c r="C133" t="inlineStr">
        <is>
          <t>2026-07-21</t>
        </is>
      </c>
      <c r="D133" t="n">
        <v>2000</v>
      </c>
      <c r="E133" t="inlineStr">
        <is>
          <t>Accounts Payable</t>
        </is>
      </c>
      <c r="F133" t="inlineStr">
        <is>
          <t>Staples Business</t>
        </is>
      </c>
      <c r="G133" t="inlineStr">
        <is>
          <t>Staples Business - corporate card</t>
        </is>
      </c>
      <c r="H133" t="inlineStr">
        <is>
          <t>CC-35445</t>
        </is>
      </c>
      <c r="J133" t="n">
        <v>164.85</v>
      </c>
      <c r="K133" t="inlineStr">
        <is>
          <t>Card feed</t>
        </is>
      </c>
      <c r="L133" t="inlineStr">
        <is>
          <t>system</t>
        </is>
      </c>
      <c r="M133" t="inlineStr"/>
    </row>
    <row r="134">
      <c r="A134" t="inlineStr">
        <is>
          <t>202607-0055</t>
        </is>
      </c>
      <c r="B134" t="inlineStr">
        <is>
          <t>JE-6106</t>
        </is>
      </c>
      <c r="C134" t="inlineStr">
        <is>
          <t>2026-07-22</t>
        </is>
      </c>
      <c r="D134" t="n">
        <v>6100</v>
      </c>
      <c r="E134" t="inlineStr">
        <is>
          <t>Office Supplies</t>
        </is>
      </c>
      <c r="F134" t="inlineStr">
        <is>
          <t>FedEx</t>
        </is>
      </c>
      <c r="G134" t="inlineStr">
        <is>
          <t>FedEx - corporate card</t>
        </is>
      </c>
      <c r="H134" t="inlineStr">
        <is>
          <t>CC-79004</t>
        </is>
      </c>
      <c r="I134" t="n">
        <v>126.85</v>
      </c>
      <c r="K134" t="inlineStr">
        <is>
          <t>Card feed</t>
        </is>
      </c>
      <c r="L134" t="inlineStr">
        <is>
          <t>system</t>
        </is>
      </c>
      <c r="M134" t="inlineStr"/>
    </row>
    <row r="135">
      <c r="A135" t="inlineStr">
        <is>
          <t>202607-0056</t>
        </is>
      </c>
      <c r="B135" t="inlineStr">
        <is>
          <t>JE-6106</t>
        </is>
      </c>
      <c r="C135" t="inlineStr">
        <is>
          <t>2026-07-22</t>
        </is>
      </c>
      <c r="D135" t="n">
        <v>2000</v>
      </c>
      <c r="E135" t="inlineStr">
        <is>
          <t>Accounts Payable</t>
        </is>
      </c>
      <c r="F135" t="inlineStr">
        <is>
          <t>FedEx</t>
        </is>
      </c>
      <c r="G135" t="inlineStr">
        <is>
          <t>FedEx - corporate card</t>
        </is>
      </c>
      <c r="H135" t="inlineStr">
        <is>
          <t>CC-79004</t>
        </is>
      </c>
      <c r="J135" t="n">
        <v>126.85</v>
      </c>
      <c r="K135" t="inlineStr">
        <is>
          <t>Card feed</t>
        </is>
      </c>
      <c r="L135" t="inlineStr">
        <is>
          <t>system</t>
        </is>
      </c>
      <c r="M135" t="inlineStr"/>
    </row>
    <row r="136">
      <c r="A136" t="inlineStr">
        <is>
          <t>202607-0133</t>
        </is>
      </c>
      <c r="B136" t="inlineStr">
        <is>
          <t>JE-6145</t>
        </is>
      </c>
      <c r="C136" t="inlineStr">
        <is>
          <t>2026-07-22</t>
        </is>
      </c>
      <c r="D136" t="n">
        <v>6420</v>
      </c>
      <c r="E136" t="inlineStr">
        <is>
          <t>Software Subscriptions</t>
        </is>
      </c>
      <c r="F136" t="inlineStr">
        <is>
          <t>Zoom Video</t>
        </is>
      </c>
      <c r="G136" t="inlineStr">
        <is>
          <t>Zoom Video - corporate card</t>
        </is>
      </c>
      <c r="H136" t="inlineStr">
        <is>
          <t>CC-74368</t>
        </is>
      </c>
      <c r="I136" t="n">
        <v>121.1</v>
      </c>
      <c r="K136" t="inlineStr">
        <is>
          <t>Card feed</t>
        </is>
      </c>
      <c r="L136" t="inlineStr">
        <is>
          <t>system</t>
        </is>
      </c>
      <c r="M136" t="inlineStr"/>
    </row>
    <row r="137">
      <c r="A137" t="inlineStr">
        <is>
          <t>202607-0134</t>
        </is>
      </c>
      <c r="B137" t="inlineStr">
        <is>
          <t>JE-6145</t>
        </is>
      </c>
      <c r="C137" t="inlineStr">
        <is>
          <t>2026-07-22</t>
        </is>
      </c>
      <c r="D137" t="n">
        <v>2000</v>
      </c>
      <c r="E137" t="inlineStr">
        <is>
          <t>Accounts Payable</t>
        </is>
      </c>
      <c r="F137" t="inlineStr">
        <is>
          <t>Zoom Video</t>
        </is>
      </c>
      <c r="G137" t="inlineStr">
        <is>
          <t>Zoom Video - corporate card</t>
        </is>
      </c>
      <c r="H137" t="inlineStr">
        <is>
          <t>CC-74368</t>
        </is>
      </c>
      <c r="J137" t="n">
        <v>121.1</v>
      </c>
      <c r="K137" t="inlineStr">
        <is>
          <t>Card feed</t>
        </is>
      </c>
      <c r="L137" t="inlineStr">
        <is>
          <t>system</t>
        </is>
      </c>
      <c r="M137" t="inlineStr"/>
    </row>
    <row r="138">
      <c r="A138" t="inlineStr">
        <is>
          <t>202607-0155</t>
        </is>
      </c>
      <c r="B138" t="inlineStr">
        <is>
          <t>JE-6156</t>
        </is>
      </c>
      <c r="C138" t="inlineStr">
        <is>
          <t>2026-07-22</t>
        </is>
      </c>
      <c r="D138" t="n">
        <v>6900</v>
      </c>
      <c r="E138" t="inlineStr">
        <is>
          <t>Travel &amp; Meals</t>
        </is>
      </c>
      <c r="F138" t="inlineStr">
        <is>
          <t>DoorDash for Work</t>
        </is>
      </c>
      <c r="G138" t="inlineStr">
        <is>
          <t>DoorDash for Work - corporate card</t>
        </is>
      </c>
      <c r="H138" t="inlineStr">
        <is>
          <t>CC-81268</t>
        </is>
      </c>
      <c r="I138" t="n">
        <v>113.46</v>
      </c>
      <c r="K138" t="inlineStr">
        <is>
          <t>Card feed</t>
        </is>
      </c>
      <c r="L138" t="inlineStr">
        <is>
          <t>system</t>
        </is>
      </c>
      <c r="M138" t="inlineStr"/>
    </row>
    <row r="139">
      <c r="A139" t="inlineStr">
        <is>
          <t>202607-0156</t>
        </is>
      </c>
      <c r="B139" t="inlineStr">
        <is>
          <t>JE-6156</t>
        </is>
      </c>
      <c r="C139" t="inlineStr">
        <is>
          <t>2026-07-22</t>
        </is>
      </c>
      <c r="D139" t="n">
        <v>2000</v>
      </c>
      <c r="E139" t="inlineStr">
        <is>
          <t>Accounts Payable</t>
        </is>
      </c>
      <c r="F139" t="inlineStr">
        <is>
          <t>DoorDash for Work</t>
        </is>
      </c>
      <c r="G139" t="inlineStr">
        <is>
          <t>DoorDash for Work - corporate card</t>
        </is>
      </c>
      <c r="H139" t="inlineStr">
        <is>
          <t>CC-81268</t>
        </is>
      </c>
      <c r="J139" t="n">
        <v>113.46</v>
      </c>
      <c r="K139" t="inlineStr">
        <is>
          <t>Card feed</t>
        </is>
      </c>
      <c r="L139" t="inlineStr">
        <is>
          <t>system</t>
        </is>
      </c>
      <c r="M139" t="inlineStr"/>
    </row>
    <row r="140">
      <c r="A140" t="inlineStr">
        <is>
          <t>202607-0159</t>
        </is>
      </c>
      <c r="B140" t="inlineStr">
        <is>
          <t>JE-6158</t>
        </is>
      </c>
      <c r="C140" t="inlineStr">
        <is>
          <t>2026-07-22</t>
        </is>
      </c>
      <c r="D140" t="n">
        <v>6100</v>
      </c>
      <c r="E140" t="inlineStr">
        <is>
          <t>Office Supplies</t>
        </is>
      </c>
      <c r="F140" t="inlineStr">
        <is>
          <t>Staples Business</t>
        </is>
      </c>
      <c r="G140" t="inlineStr">
        <is>
          <t>Staples Business - corporate card</t>
        </is>
      </c>
      <c r="H140" t="inlineStr">
        <is>
          <t>CC-39569</t>
        </is>
      </c>
      <c r="I140" t="n">
        <v>190.94</v>
      </c>
      <c r="K140" t="inlineStr">
        <is>
          <t>Card feed</t>
        </is>
      </c>
      <c r="L140" t="inlineStr">
        <is>
          <t>system</t>
        </is>
      </c>
      <c r="M140" t="inlineStr"/>
    </row>
    <row r="141">
      <c r="A141" t="inlineStr">
        <is>
          <t>202607-0160</t>
        </is>
      </c>
      <c r="B141" t="inlineStr">
        <is>
          <t>JE-6158</t>
        </is>
      </c>
      <c r="C141" t="inlineStr">
        <is>
          <t>2026-07-22</t>
        </is>
      </c>
      <c r="D141" t="n">
        <v>2000</v>
      </c>
      <c r="E141" t="inlineStr">
        <is>
          <t>Accounts Payable</t>
        </is>
      </c>
      <c r="F141" t="inlineStr">
        <is>
          <t>Staples Business</t>
        </is>
      </c>
      <c r="G141" t="inlineStr">
        <is>
          <t>Staples Business - corporate card</t>
        </is>
      </c>
      <c r="H141" t="inlineStr">
        <is>
          <t>CC-39569</t>
        </is>
      </c>
      <c r="J141" t="n">
        <v>190.94</v>
      </c>
      <c r="K141" t="inlineStr">
        <is>
          <t>Card feed</t>
        </is>
      </c>
      <c r="L141" t="inlineStr">
        <is>
          <t>system</t>
        </is>
      </c>
      <c r="M141" t="inlineStr"/>
    </row>
    <row r="142">
      <c r="A142" t="inlineStr">
        <is>
          <t>202607-0129</t>
        </is>
      </c>
      <c r="B142" t="inlineStr">
        <is>
          <t>JE-6143</t>
        </is>
      </c>
      <c r="C142" t="inlineStr">
        <is>
          <t>2026-07-23</t>
        </is>
      </c>
      <c r="D142" t="n">
        <v>6420</v>
      </c>
      <c r="E142" t="inlineStr">
        <is>
          <t>Software Subscriptions</t>
        </is>
      </c>
      <c r="F142" t="inlineStr">
        <is>
          <t>Adobe Inc.</t>
        </is>
      </c>
      <c r="G142" t="inlineStr">
        <is>
          <t>Adobe Inc. - corporate card</t>
        </is>
      </c>
      <c r="H142" t="inlineStr">
        <is>
          <t>CC-15643</t>
        </is>
      </c>
      <c r="I142" t="n">
        <v>55</v>
      </c>
      <c r="K142" t="inlineStr">
        <is>
          <t>Card feed</t>
        </is>
      </c>
      <c r="L142" t="inlineStr">
        <is>
          <t>system</t>
        </is>
      </c>
      <c r="M142" t="inlineStr"/>
    </row>
    <row r="143">
      <c r="A143" t="inlineStr">
        <is>
          <t>202607-0130</t>
        </is>
      </c>
      <c r="B143" t="inlineStr">
        <is>
          <t>JE-6143</t>
        </is>
      </c>
      <c r="C143" t="inlineStr">
        <is>
          <t>2026-07-23</t>
        </is>
      </c>
      <c r="D143" t="n">
        <v>2000</v>
      </c>
      <c r="E143" t="inlineStr">
        <is>
          <t>Accounts Payable</t>
        </is>
      </c>
      <c r="F143" t="inlineStr">
        <is>
          <t>Adobe Inc.</t>
        </is>
      </c>
      <c r="G143" t="inlineStr">
        <is>
          <t>Adobe Inc. - corporate card</t>
        </is>
      </c>
      <c r="H143" t="inlineStr">
        <is>
          <t>CC-15643</t>
        </is>
      </c>
      <c r="J143" t="n">
        <v>55</v>
      </c>
      <c r="K143" t="inlineStr">
        <is>
          <t>Card feed</t>
        </is>
      </c>
      <c r="L143" t="inlineStr">
        <is>
          <t>system</t>
        </is>
      </c>
      <c r="M143" t="inlineStr"/>
    </row>
    <row r="144">
      <c r="A144" t="inlineStr">
        <is>
          <t>202607-0085</t>
        </is>
      </c>
      <c r="B144" t="inlineStr">
        <is>
          <t>JE-6121</t>
        </is>
      </c>
      <c r="C144" t="inlineStr">
        <is>
          <t>2026-07-24</t>
        </is>
      </c>
      <c r="D144" t="n">
        <v>6420</v>
      </c>
      <c r="E144" t="inlineStr">
        <is>
          <t>Software Subscriptions</t>
        </is>
      </c>
      <c r="F144" t="inlineStr">
        <is>
          <t>Zoom Video</t>
        </is>
      </c>
      <c r="G144" t="inlineStr">
        <is>
          <t>Zoom Video - corporate card</t>
        </is>
      </c>
      <c r="H144" t="inlineStr">
        <is>
          <t>CC-18810</t>
        </is>
      </c>
      <c r="I144" t="n">
        <v>112.43</v>
      </c>
      <c r="K144" t="inlineStr">
        <is>
          <t>Card feed</t>
        </is>
      </c>
      <c r="L144" t="inlineStr">
        <is>
          <t>system</t>
        </is>
      </c>
      <c r="M144" t="inlineStr"/>
    </row>
    <row r="145">
      <c r="A145" t="inlineStr">
        <is>
          <t>202607-0086</t>
        </is>
      </c>
      <c r="B145" t="inlineStr">
        <is>
          <t>JE-6121</t>
        </is>
      </c>
      <c r="C145" t="inlineStr">
        <is>
          <t>2026-07-24</t>
        </is>
      </c>
      <c r="D145" t="n">
        <v>2000</v>
      </c>
      <c r="E145" t="inlineStr">
        <is>
          <t>Accounts Payable</t>
        </is>
      </c>
      <c r="F145" t="inlineStr">
        <is>
          <t>Zoom Video</t>
        </is>
      </c>
      <c r="G145" t="inlineStr">
        <is>
          <t>Zoom Video - corporate card</t>
        </is>
      </c>
      <c r="H145" t="inlineStr">
        <is>
          <t>CC-18810</t>
        </is>
      </c>
      <c r="J145" t="n">
        <v>112.43</v>
      </c>
      <c r="K145" t="inlineStr">
        <is>
          <t>Card feed</t>
        </is>
      </c>
      <c r="L145" t="inlineStr">
        <is>
          <t>system</t>
        </is>
      </c>
      <c r="M145" t="inlineStr"/>
    </row>
    <row r="146">
      <c r="A146" t="inlineStr">
        <is>
          <t>202607-0123</t>
        </is>
      </c>
      <c r="B146" t="inlineStr">
        <is>
          <t>JE-6140</t>
        </is>
      </c>
      <c r="C146" t="inlineStr">
        <is>
          <t>2026-07-24</t>
        </is>
      </c>
      <c r="D146" t="n">
        <v>6900</v>
      </c>
      <c r="E146" t="inlineStr">
        <is>
          <t>Travel &amp; Meals</t>
        </is>
      </c>
      <c r="F146" t="inlineStr">
        <is>
          <t>Grubhub Corporate</t>
        </is>
      </c>
      <c r="G146" t="inlineStr">
        <is>
          <t>Grubhub Corporate - corporate card</t>
        </is>
      </c>
      <c r="H146" t="inlineStr">
        <is>
          <t>CC-61263</t>
        </is>
      </c>
      <c r="I146" t="n">
        <v>80.37</v>
      </c>
      <c r="K146" t="inlineStr">
        <is>
          <t>Card feed</t>
        </is>
      </c>
      <c r="L146" t="inlineStr">
        <is>
          <t>system</t>
        </is>
      </c>
      <c r="M146" t="inlineStr"/>
    </row>
    <row r="147">
      <c r="A147" t="inlineStr">
        <is>
          <t>202607-0124</t>
        </is>
      </c>
      <c r="B147" t="inlineStr">
        <is>
          <t>JE-6140</t>
        </is>
      </c>
      <c r="C147" t="inlineStr">
        <is>
          <t>2026-07-24</t>
        </is>
      </c>
      <c r="D147" t="n">
        <v>2000</v>
      </c>
      <c r="E147" t="inlineStr">
        <is>
          <t>Accounts Payable</t>
        </is>
      </c>
      <c r="F147" t="inlineStr">
        <is>
          <t>Grubhub Corporate</t>
        </is>
      </c>
      <c r="G147" t="inlineStr">
        <is>
          <t>Grubhub Corporate - corporate card</t>
        </is>
      </c>
      <c r="H147" t="inlineStr">
        <is>
          <t>CC-61263</t>
        </is>
      </c>
      <c r="J147" t="n">
        <v>80.37</v>
      </c>
      <c r="K147" t="inlineStr">
        <is>
          <t>Card feed</t>
        </is>
      </c>
      <c r="L147" t="inlineStr">
        <is>
          <t>system</t>
        </is>
      </c>
      <c r="M147" t="inlineStr"/>
    </row>
    <row r="148">
      <c r="A148" t="inlineStr">
        <is>
          <t>202607-0023</t>
        </is>
      </c>
      <c r="B148" t="inlineStr">
        <is>
          <t>JE-6091</t>
        </is>
      </c>
      <c r="C148" t="inlineStr">
        <is>
          <t>2026-07-25</t>
        </is>
      </c>
      <c r="D148" t="n">
        <v>6600</v>
      </c>
      <c r="E148" t="inlineStr">
        <is>
          <t>Professional Fees</t>
        </is>
      </c>
      <c r="F148" t="inlineStr">
        <is>
          <t>Kemper &amp; Lau CPAs</t>
        </is>
      </c>
      <c r="G148" t="inlineStr">
        <is>
          <t>Kemper &amp; Lau CPAs - monthly</t>
        </is>
      </c>
      <c r="H148" t="inlineStr">
        <is>
          <t>KEM-202607-181</t>
        </is>
      </c>
      <c r="I148" t="n">
        <v>3500</v>
      </c>
      <c r="K148" t="inlineStr">
        <is>
          <t>AP</t>
        </is>
      </c>
      <c r="L148" t="inlineStr">
        <is>
          <t>system</t>
        </is>
      </c>
      <c r="M148" t="inlineStr"/>
    </row>
    <row r="149">
      <c r="A149" t="inlineStr">
        <is>
          <t>202607-0024</t>
        </is>
      </c>
      <c r="B149" t="inlineStr">
        <is>
          <t>JE-6091</t>
        </is>
      </c>
      <c r="C149" t="inlineStr">
        <is>
          <t>2026-07-25</t>
        </is>
      </c>
      <c r="D149" t="n">
        <v>2000</v>
      </c>
      <c r="E149" t="inlineStr">
        <is>
          <t>Accounts Payable</t>
        </is>
      </c>
      <c r="F149" t="inlineStr">
        <is>
          <t>Kemper &amp; Lau CPAs</t>
        </is>
      </c>
      <c r="G149" t="inlineStr">
        <is>
          <t>Kemper &amp; Lau CPAs - monthly</t>
        </is>
      </c>
      <c r="H149" t="inlineStr">
        <is>
          <t>KEM-202607-181</t>
        </is>
      </c>
      <c r="J149" t="n">
        <v>3500</v>
      </c>
      <c r="K149" t="inlineStr">
        <is>
          <t>AP</t>
        </is>
      </c>
      <c r="L149" t="inlineStr">
        <is>
          <t>system</t>
        </is>
      </c>
      <c r="M149" t="inlineStr"/>
    </row>
    <row r="150">
      <c r="A150" t="inlineStr">
        <is>
          <t>202607-0057</t>
        </is>
      </c>
      <c r="B150" t="inlineStr">
        <is>
          <t>JE-6107</t>
        </is>
      </c>
      <c r="C150" t="inlineStr">
        <is>
          <t>2026-07-27</t>
        </is>
      </c>
      <c r="D150" t="n">
        <v>6100</v>
      </c>
      <c r="E150" t="inlineStr">
        <is>
          <t>Office Supplies</t>
        </is>
      </c>
      <c r="F150" t="inlineStr">
        <is>
          <t>Staples Business</t>
        </is>
      </c>
      <c r="G150" t="inlineStr">
        <is>
          <t>Staples Business - corporate card</t>
        </is>
      </c>
      <c r="H150" t="inlineStr">
        <is>
          <t>CC-60221</t>
        </is>
      </c>
      <c r="I150" t="n">
        <v>234.8</v>
      </c>
      <c r="K150" t="inlineStr">
        <is>
          <t>Card feed</t>
        </is>
      </c>
      <c r="L150" t="inlineStr">
        <is>
          <t>system</t>
        </is>
      </c>
      <c r="M150" t="inlineStr"/>
    </row>
    <row r="151">
      <c r="A151" t="inlineStr">
        <is>
          <t>202607-0058</t>
        </is>
      </c>
      <c r="B151" t="inlineStr">
        <is>
          <t>JE-6107</t>
        </is>
      </c>
      <c r="C151" t="inlineStr">
        <is>
          <t>2026-07-27</t>
        </is>
      </c>
      <c r="D151" t="n">
        <v>2000</v>
      </c>
      <c r="E151" t="inlineStr">
        <is>
          <t>Accounts Payable</t>
        </is>
      </c>
      <c r="F151" t="inlineStr">
        <is>
          <t>Staples Business</t>
        </is>
      </c>
      <c r="G151" t="inlineStr">
        <is>
          <t>Staples Business - corporate card</t>
        </is>
      </c>
      <c r="H151" t="inlineStr">
        <is>
          <t>CC-60221</t>
        </is>
      </c>
      <c r="J151" t="n">
        <v>234.8</v>
      </c>
      <c r="K151" t="inlineStr">
        <is>
          <t>Card feed</t>
        </is>
      </c>
      <c r="L151" t="inlineStr">
        <is>
          <t>system</t>
        </is>
      </c>
      <c r="M151" t="inlineStr"/>
    </row>
    <row r="152">
      <c r="A152" t="inlineStr">
        <is>
          <t>202607-0101</t>
        </is>
      </c>
      <c r="B152" t="inlineStr">
        <is>
          <t>JE-6129</t>
        </is>
      </c>
      <c r="C152" t="inlineStr">
        <is>
          <t>2026-07-27</t>
        </is>
      </c>
      <c r="D152" t="n">
        <v>6900</v>
      </c>
      <c r="E152" t="inlineStr">
        <is>
          <t>Travel &amp; Meals</t>
        </is>
      </c>
      <c r="F152" t="inlineStr">
        <is>
          <t>Grubhub Corporate</t>
        </is>
      </c>
      <c r="G152" t="inlineStr">
        <is>
          <t>Grubhub Corporate - corporate card</t>
        </is>
      </c>
      <c r="H152" t="inlineStr">
        <is>
          <t>CC-41190</t>
        </is>
      </c>
      <c r="I152" t="n">
        <v>201.21</v>
      </c>
      <c r="K152" t="inlineStr">
        <is>
          <t>Card feed</t>
        </is>
      </c>
      <c r="L152" t="inlineStr">
        <is>
          <t>system</t>
        </is>
      </c>
      <c r="M152" t="inlineStr"/>
    </row>
    <row r="153">
      <c r="A153" t="inlineStr">
        <is>
          <t>202607-0102</t>
        </is>
      </c>
      <c r="B153" t="inlineStr">
        <is>
          <t>JE-6129</t>
        </is>
      </c>
      <c r="C153" t="inlineStr">
        <is>
          <t>2026-07-27</t>
        </is>
      </c>
      <c r="D153" t="n">
        <v>2000</v>
      </c>
      <c r="E153" t="inlineStr">
        <is>
          <t>Accounts Payable</t>
        </is>
      </c>
      <c r="F153" t="inlineStr">
        <is>
          <t>Grubhub Corporate</t>
        </is>
      </c>
      <c r="G153" t="inlineStr">
        <is>
          <t>Grubhub Corporate - corporate card</t>
        </is>
      </c>
      <c r="H153" t="inlineStr">
        <is>
          <t>CC-41190</t>
        </is>
      </c>
      <c r="J153" t="n">
        <v>201.21</v>
      </c>
      <c r="K153" t="inlineStr">
        <is>
          <t>Card feed</t>
        </is>
      </c>
      <c r="L153" t="inlineStr">
        <is>
          <t>system</t>
        </is>
      </c>
      <c r="M153" t="inlineStr"/>
    </row>
    <row r="154">
      <c r="A154" t="inlineStr">
        <is>
          <t>202607-0113</t>
        </is>
      </c>
      <c r="B154" t="inlineStr">
        <is>
          <t>JE-6135</t>
        </is>
      </c>
      <c r="C154" t="inlineStr">
        <is>
          <t>2026-07-27</t>
        </is>
      </c>
      <c r="D154" t="n">
        <v>6100</v>
      </c>
      <c r="E154" t="inlineStr">
        <is>
          <t>Office Supplies</t>
        </is>
      </c>
      <c r="F154" t="inlineStr">
        <is>
          <t>FedEx</t>
        </is>
      </c>
      <c r="G154" t="inlineStr">
        <is>
          <t>FedEx - corporate card</t>
        </is>
      </c>
      <c r="H154" t="inlineStr">
        <is>
          <t>CC-40652</t>
        </is>
      </c>
      <c r="I154" t="n">
        <v>119.28</v>
      </c>
      <c r="K154" t="inlineStr">
        <is>
          <t>Card feed</t>
        </is>
      </c>
      <c r="L154" t="inlineStr">
        <is>
          <t>system</t>
        </is>
      </c>
      <c r="M154" t="inlineStr"/>
    </row>
    <row r="155">
      <c r="A155" t="inlineStr">
        <is>
          <t>202607-0114</t>
        </is>
      </c>
      <c r="B155" t="inlineStr">
        <is>
          <t>JE-6135</t>
        </is>
      </c>
      <c r="C155" t="inlineStr">
        <is>
          <t>2026-07-27</t>
        </is>
      </c>
      <c r="D155" t="n">
        <v>2000</v>
      </c>
      <c r="E155" t="inlineStr">
        <is>
          <t>Accounts Payable</t>
        </is>
      </c>
      <c r="F155" t="inlineStr">
        <is>
          <t>FedEx</t>
        </is>
      </c>
      <c r="G155" t="inlineStr">
        <is>
          <t>FedEx - corporate card</t>
        </is>
      </c>
      <c r="H155" t="inlineStr">
        <is>
          <t>CC-40652</t>
        </is>
      </c>
      <c r="J155" t="n">
        <v>119.28</v>
      </c>
      <c r="K155" t="inlineStr">
        <is>
          <t>Card feed</t>
        </is>
      </c>
      <c r="L155" t="inlineStr">
        <is>
          <t>system</t>
        </is>
      </c>
      <c r="M155" t="inlineStr"/>
    </row>
    <row r="156">
      <c r="A156" t="inlineStr">
        <is>
          <t>202607-0117</t>
        </is>
      </c>
      <c r="B156" t="inlineStr">
        <is>
          <t>JE-6137</t>
        </is>
      </c>
      <c r="C156" t="inlineStr">
        <is>
          <t>2026-07-27</t>
        </is>
      </c>
      <c r="D156" t="n">
        <v>6420</v>
      </c>
      <c r="E156" t="inlineStr">
        <is>
          <t>Software Subscriptions</t>
        </is>
      </c>
      <c r="F156" t="inlineStr">
        <is>
          <t>Adobe Inc.</t>
        </is>
      </c>
      <c r="G156" t="inlineStr">
        <is>
          <t>Adobe Inc. - corporate card</t>
        </is>
      </c>
      <c r="H156" t="inlineStr">
        <is>
          <t>CC-89611</t>
        </is>
      </c>
      <c r="I156" t="n">
        <v>55</v>
      </c>
      <c r="K156" t="inlineStr">
        <is>
          <t>Card feed</t>
        </is>
      </c>
      <c r="L156" t="inlineStr">
        <is>
          <t>system</t>
        </is>
      </c>
      <c r="M156" t="inlineStr"/>
    </row>
    <row r="157">
      <c r="A157" t="inlineStr">
        <is>
          <t>202607-0118</t>
        </is>
      </c>
      <c r="B157" t="inlineStr">
        <is>
          <t>JE-6137</t>
        </is>
      </c>
      <c r="C157" t="inlineStr">
        <is>
          <t>2026-07-27</t>
        </is>
      </c>
      <c r="D157" t="n">
        <v>2000</v>
      </c>
      <c r="E157" t="inlineStr">
        <is>
          <t>Accounts Payable</t>
        </is>
      </c>
      <c r="F157" t="inlineStr">
        <is>
          <t>Adobe Inc.</t>
        </is>
      </c>
      <c r="G157" t="inlineStr">
        <is>
          <t>Adobe Inc. - corporate card</t>
        </is>
      </c>
      <c r="H157" t="inlineStr">
        <is>
          <t>CC-89611</t>
        </is>
      </c>
      <c r="J157" t="n">
        <v>55</v>
      </c>
      <c r="K157" t="inlineStr">
        <is>
          <t>Card feed</t>
        </is>
      </c>
      <c r="L157" t="inlineStr">
        <is>
          <t>system</t>
        </is>
      </c>
      <c r="M157" t="inlineStr"/>
    </row>
    <row r="158">
      <c r="A158" t="inlineStr">
        <is>
          <t>202607-0153</t>
        </is>
      </c>
      <c r="B158" t="inlineStr">
        <is>
          <t>JE-6155</t>
        </is>
      </c>
      <c r="C158" t="inlineStr">
        <is>
          <t>2026-07-27</t>
        </is>
      </c>
      <c r="D158" t="n">
        <v>6100</v>
      </c>
      <c r="E158" t="inlineStr">
        <is>
          <t>Office Supplies</t>
        </is>
      </c>
      <c r="F158" t="inlineStr">
        <is>
          <t>UPS Store 4417</t>
        </is>
      </c>
      <c r="G158" t="inlineStr">
        <is>
          <t>UPS Store 4417 - corporate card</t>
        </is>
      </c>
      <c r="H158" t="inlineStr">
        <is>
          <t>CC-26788</t>
        </is>
      </c>
      <c r="I158" t="n">
        <v>67.63</v>
      </c>
      <c r="K158" t="inlineStr">
        <is>
          <t>Card feed</t>
        </is>
      </c>
      <c r="L158" t="inlineStr">
        <is>
          <t>system</t>
        </is>
      </c>
      <c r="M158" t="inlineStr"/>
    </row>
    <row r="159">
      <c r="A159" t="inlineStr">
        <is>
          <t>202607-0154</t>
        </is>
      </c>
      <c r="B159" t="inlineStr">
        <is>
          <t>JE-6155</t>
        </is>
      </c>
      <c r="C159" t="inlineStr">
        <is>
          <t>2026-07-27</t>
        </is>
      </c>
      <c r="D159" t="n">
        <v>2000</v>
      </c>
      <c r="E159" t="inlineStr">
        <is>
          <t>Accounts Payable</t>
        </is>
      </c>
      <c r="F159" t="inlineStr">
        <is>
          <t>UPS Store 4417</t>
        </is>
      </c>
      <c r="G159" t="inlineStr">
        <is>
          <t>UPS Store 4417 - corporate card</t>
        </is>
      </c>
      <c r="H159" t="inlineStr">
        <is>
          <t>CC-26788</t>
        </is>
      </c>
      <c r="J159" t="n">
        <v>67.63</v>
      </c>
      <c r="K159" t="inlineStr">
        <is>
          <t>Card feed</t>
        </is>
      </c>
      <c r="L159" t="inlineStr">
        <is>
          <t>system</t>
        </is>
      </c>
      <c r="M159" t="inlineStr"/>
    </row>
    <row r="160">
      <c r="A160" t="inlineStr">
        <is>
          <t>202607-0161</t>
        </is>
      </c>
      <c r="B160" t="inlineStr">
        <is>
          <t>JE-6159</t>
        </is>
      </c>
      <c r="C160" t="inlineStr">
        <is>
          <t>2026-07-27</t>
        </is>
      </c>
      <c r="D160" t="n">
        <v>6420</v>
      </c>
      <c r="E160" t="inlineStr">
        <is>
          <t>Software Subscriptions</t>
        </is>
      </c>
      <c r="F160" t="inlineStr">
        <is>
          <t>Adobe Inc.</t>
        </is>
      </c>
      <c r="G160" t="inlineStr">
        <is>
          <t>Adobe Inc. - corporate card</t>
        </is>
      </c>
      <c r="H160" t="inlineStr">
        <is>
          <t>CC-28981</t>
        </is>
      </c>
      <c r="I160" t="n">
        <v>55</v>
      </c>
      <c r="K160" t="inlineStr">
        <is>
          <t>Card feed</t>
        </is>
      </c>
      <c r="L160" t="inlineStr">
        <is>
          <t>system</t>
        </is>
      </c>
      <c r="M160" t="inlineStr"/>
    </row>
    <row r="161">
      <c r="A161" t="inlineStr">
        <is>
          <t>202607-0162</t>
        </is>
      </c>
      <c r="B161" t="inlineStr">
        <is>
          <t>JE-6159</t>
        </is>
      </c>
      <c r="C161" t="inlineStr">
        <is>
          <t>2026-07-27</t>
        </is>
      </c>
      <c r="D161" t="n">
        <v>2000</v>
      </c>
      <c r="E161" t="inlineStr">
        <is>
          <t>Accounts Payable</t>
        </is>
      </c>
      <c r="F161" t="inlineStr">
        <is>
          <t>Adobe Inc.</t>
        </is>
      </c>
      <c r="G161" t="inlineStr">
        <is>
          <t>Adobe Inc. - corporate card</t>
        </is>
      </c>
      <c r="H161" t="inlineStr">
        <is>
          <t>CC-28981</t>
        </is>
      </c>
      <c r="J161" t="n">
        <v>55</v>
      </c>
      <c r="K161" t="inlineStr">
        <is>
          <t>Card feed</t>
        </is>
      </c>
      <c r="L161" t="inlineStr">
        <is>
          <t>system</t>
        </is>
      </c>
      <c r="M161" t="inlineStr"/>
    </row>
    <row r="162">
      <c r="A162" t="inlineStr">
        <is>
          <t>202607-0028</t>
        </is>
      </c>
      <c r="B162" t="inlineStr">
        <is>
          <t>JE-6093</t>
        </is>
      </c>
      <c r="C162" t="inlineStr">
        <is>
          <t>2026-07-28</t>
        </is>
      </c>
      <c r="D162" t="n">
        <v>5000</v>
      </c>
      <c r="E162" t="inlineStr">
        <is>
          <t>Salaries &amp; Wages</t>
        </is>
      </c>
      <c r="F162" t="inlineStr">
        <is>
          <t>ADP</t>
        </is>
      </c>
      <c r="G162" t="inlineStr">
        <is>
          <t>Payroll - semi-monthly</t>
        </is>
      </c>
      <c r="H162" t="inlineStr">
        <is>
          <t>PR</t>
        </is>
      </c>
      <c r="I162" t="n">
        <v>186605.41</v>
      </c>
      <c r="K162" t="inlineStr">
        <is>
          <t>Payroll</t>
        </is>
      </c>
      <c r="L162" t="inlineStr">
        <is>
          <t>system</t>
        </is>
      </c>
      <c r="M162" t="inlineStr"/>
    </row>
    <row r="163">
      <c r="A163" t="inlineStr">
        <is>
          <t>202607-0029</t>
        </is>
      </c>
      <c r="B163" t="inlineStr">
        <is>
          <t>JE-6093</t>
        </is>
      </c>
      <c r="C163" t="inlineStr">
        <is>
          <t>2026-07-28</t>
        </is>
      </c>
      <c r="D163" t="n">
        <v>5100</v>
      </c>
      <c r="E163" t="inlineStr">
        <is>
          <t>Payroll Taxes &amp; Benefits</t>
        </is>
      </c>
      <c r="F163" t="inlineStr">
        <is>
          <t>ADP</t>
        </is>
      </c>
      <c r="G163" t="inlineStr">
        <is>
          <t>Employer taxes &amp; benefits</t>
        </is>
      </c>
      <c r="H163" t="inlineStr">
        <is>
          <t>PR</t>
        </is>
      </c>
      <c r="I163" t="n">
        <v>22019.44</v>
      </c>
      <c r="K163" t="inlineStr">
        <is>
          <t>Payroll</t>
        </is>
      </c>
      <c r="L163" t="inlineStr">
        <is>
          <t>system</t>
        </is>
      </c>
      <c r="M163" t="inlineStr"/>
    </row>
    <row r="164">
      <c r="A164" t="inlineStr">
        <is>
          <t>202607-0030</t>
        </is>
      </c>
      <c r="B164" t="inlineStr">
        <is>
          <t>JE-6093</t>
        </is>
      </c>
      <c r="C164" t="inlineStr">
        <is>
          <t>2026-07-28</t>
        </is>
      </c>
      <c r="D164" t="n">
        <v>1000</v>
      </c>
      <c r="E164" t="inlineStr">
        <is>
          <t>Operating Cash - First Harbor Bank</t>
        </is>
      </c>
      <c r="F164" t="inlineStr">
        <is>
          <t>ADP</t>
        </is>
      </c>
      <c r="G164" t="inlineStr">
        <is>
          <t>Payroll funding</t>
        </is>
      </c>
      <c r="H164" t="inlineStr">
        <is>
          <t>PR</t>
        </is>
      </c>
      <c r="J164" t="n">
        <v>208624.85</v>
      </c>
      <c r="K164" t="inlineStr">
        <is>
          <t>Payroll</t>
        </is>
      </c>
      <c r="L164" t="inlineStr">
        <is>
          <t>system</t>
        </is>
      </c>
      <c r="M164" t="inlineStr"/>
    </row>
    <row r="165">
      <c r="A165" t="inlineStr">
        <is>
          <t>202607-0059</t>
        </is>
      </c>
      <c r="B165" t="inlineStr">
        <is>
          <t>JE-6108</t>
        </is>
      </c>
      <c r="C165" t="inlineStr">
        <is>
          <t>2026-07-28</t>
        </is>
      </c>
      <c r="D165" t="n">
        <v>6900</v>
      </c>
      <c r="E165" t="inlineStr">
        <is>
          <t>Travel &amp; Meals</t>
        </is>
      </c>
      <c r="F165" t="inlineStr">
        <is>
          <t>Delta Air Lines</t>
        </is>
      </c>
      <c r="G165" t="inlineStr">
        <is>
          <t>Delta Air Lines - corporate card</t>
        </is>
      </c>
      <c r="H165" t="inlineStr">
        <is>
          <t>CC-55727</t>
        </is>
      </c>
      <c r="I165" t="n">
        <v>577.5</v>
      </c>
      <c r="K165" t="inlineStr">
        <is>
          <t>Card feed</t>
        </is>
      </c>
      <c r="L165" t="inlineStr">
        <is>
          <t>system</t>
        </is>
      </c>
      <c r="M165" t="inlineStr"/>
    </row>
    <row r="166">
      <c r="A166" t="inlineStr">
        <is>
          <t>202607-0060</t>
        </is>
      </c>
      <c r="B166" t="inlineStr">
        <is>
          <t>JE-6108</t>
        </is>
      </c>
      <c r="C166" t="inlineStr">
        <is>
          <t>2026-07-28</t>
        </is>
      </c>
      <c r="D166" t="n">
        <v>2000</v>
      </c>
      <c r="E166" t="inlineStr">
        <is>
          <t>Accounts Payable</t>
        </is>
      </c>
      <c r="F166" t="inlineStr">
        <is>
          <t>Delta Air Lines</t>
        </is>
      </c>
      <c r="G166" t="inlineStr">
        <is>
          <t>Delta Air Lines - corporate card</t>
        </is>
      </c>
      <c r="H166" t="inlineStr">
        <is>
          <t>CC-55727</t>
        </is>
      </c>
      <c r="J166" t="n">
        <v>577.5</v>
      </c>
      <c r="K166" t="inlineStr">
        <is>
          <t>Card feed</t>
        </is>
      </c>
      <c r="L166" t="inlineStr">
        <is>
          <t>system</t>
        </is>
      </c>
      <c r="M166" t="inlineStr"/>
    </row>
    <row r="167">
      <c r="A167" t="inlineStr">
        <is>
          <t>202607-0165</t>
        </is>
      </c>
      <c r="B167" t="inlineStr">
        <is>
          <t>JE-6161</t>
        </is>
      </c>
      <c r="C167" t="inlineStr">
        <is>
          <t>2026-07-28</t>
        </is>
      </c>
      <c r="D167" t="n">
        <v>1000</v>
      </c>
      <c r="E167" t="inlineStr">
        <is>
          <t>Operating Cash - First Harbor Bank</t>
        </is>
      </c>
      <c r="F167" t="inlineStr">
        <is>
          <t>Portal</t>
        </is>
      </c>
      <c r="G167" t="inlineStr">
        <is>
          <t>Requestor copy fees collected</t>
        </is>
      </c>
      <c r="H167" t="inlineStr">
        <is>
          <t>DEP</t>
        </is>
      </c>
      <c r="I167" t="n">
        <v>41582.75</v>
      </c>
      <c r="K167" t="inlineStr">
        <is>
          <t>Cash receipts</t>
        </is>
      </c>
      <c r="L167" t="inlineStr">
        <is>
          <t>system</t>
        </is>
      </c>
      <c r="M167" t="inlineStr"/>
    </row>
    <row r="168">
      <c r="A168" t="inlineStr">
        <is>
          <t>202607-0166</t>
        </is>
      </c>
      <c r="B168" t="inlineStr">
        <is>
          <t>JE-6161</t>
        </is>
      </c>
      <c r="C168" t="inlineStr">
        <is>
          <t>2026-07-28</t>
        </is>
      </c>
      <c r="D168" t="n">
        <v>4100</v>
      </c>
      <c r="E168" t="inlineStr">
        <is>
          <t>Copy Fee Revenue - Requestors</t>
        </is>
      </c>
      <c r="F168" t="inlineStr">
        <is>
          <t>Portal</t>
        </is>
      </c>
      <c r="G168" t="inlineStr">
        <is>
          <t>Requestor copy fees collected</t>
        </is>
      </c>
      <c r="H168" t="inlineStr">
        <is>
          <t>DEP</t>
        </is>
      </c>
      <c r="J168" t="n">
        <v>41582.75</v>
      </c>
      <c r="K168" t="inlineStr">
        <is>
          <t>Cash receipts</t>
        </is>
      </c>
      <c r="L168" t="inlineStr">
        <is>
          <t>system</t>
        </is>
      </c>
      <c r="M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2026-09-28T21:10:38Z</dcterms:created>
  <dcterms:modified xsi:type="dcterms:W3CDTF">2026-09-28T21:10:38Z</dcterms:modified>
</cp:coreProperties>
</file>