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cases" sheetId="2" state="visible" r:id="rId2"/>
    <sheet xmlns:r="http://schemas.openxmlformats.org/officeDocument/2006/relationships" name="Traceability" sheetId="3" state="visible" r:id="rId3"/>
    <sheet xmlns:r="http://schemas.openxmlformats.org/officeDocument/2006/relationships" name="Contract conflicts" sheetId="4" state="visible" r:id="rId4"/>
    <sheet xmlns:r="http://schemas.openxmlformats.org/officeDocument/2006/relationships" name="Due-date matrix" sheetId="5" state="visible" r:id="rId5"/>
    <sheet xmlns:r="http://schemas.openxmlformats.org/officeDocument/2006/relationships" name="Open questions" sheetId="6" state="visible" r:id="rId6"/>
    <sheet xmlns:r="http://schemas.openxmlformats.org/officeDocument/2006/relationships" name="Test data" sheetId="7" state="visible" r:id="rId7"/>
    <sheet xmlns:r="http://schemas.openxmlformats.org/officeDocument/2006/relationships" name="Defect log" sheetId="8" state="visible" r:id="rId8"/>
    <sheet xmlns:r="http://schemas.openxmlformats.org/officeDocument/2006/relationships" name="Severity rubric" sheetId="9" state="visible" r:id="rId9"/>
  </sheets>
  <definedNames>
    <definedName name="_xlnm._FilterDatabase" localSheetId="0" hidden="1">'Summary'!$A$5:$K$22</definedName>
    <definedName name="_xlnm._FilterDatabase" localSheetId="1" hidden="1">'Test cases'!$A$5:$N$65</definedName>
    <definedName name="_xlnm._FilterDatabase" localSheetId="2" hidden="1">'Traceability'!$A$5:$E$16</definedName>
    <definedName name="_xlnm._FilterDatabase" localSheetId="3" hidden="1">'Contract conflicts'!$A$5:$G$18</definedName>
    <definedName name="_xlnm._FilterDatabase" localSheetId="4" hidden="1">'Due-date matrix'!$A$5:$I$18</definedName>
    <definedName name="_xlnm._FilterDatabase" localSheetId="5" hidden="1">'Open questions'!$A$5:$G$18</definedName>
    <definedName name="_xlnm._FilterDatabase" localSheetId="6" hidden="1">'Test data'!$A$5:$E$48</definedName>
    <definedName name="_xlnm._FilterDatabase" localSheetId="7" hidden="1">'Defect log'!$A$5:$K$35</definedName>
    <definedName name="_xlnm._FilterDatabase" localSheetId="8" hidden="1">'Severity rubric'!$A$5:$E$12</definedName>
  </definedNames>
  <calcPr calcId="124519"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b val="1"/>
      <color rgb="001C2A39"/>
      <sz val="14"/>
    </font>
    <font>
      <i val="1"/>
      <color rgb="00576374"/>
      <sz val="10"/>
    </font>
    <font>
      <b val="1"/>
      <color rgb="00F15A29"/>
      <sz val="11"/>
    </font>
    <font>
      <b val="1"/>
      <color rgb="00FFFFFF"/>
    </font>
    <font>
      <b val="1"/>
      <color rgb="001C2A39"/>
    </font>
  </fonts>
  <fills count="9">
    <fill>
      <patternFill/>
    </fill>
    <fill>
      <patternFill patternType="gray125"/>
    </fill>
    <fill>
      <patternFill patternType="solid">
        <fgColor rgb="001C2A39"/>
      </patternFill>
    </fill>
    <fill>
      <patternFill patternType="solid">
        <fgColor rgb="00FAFBFC"/>
      </patternFill>
    </fill>
    <fill>
      <patternFill patternType="solid">
        <fgColor rgb="00FCE4D6"/>
      </patternFill>
    </fill>
    <fill>
      <patternFill patternType="solid">
        <fgColor rgb="00E8EDF2"/>
      </patternFill>
    </fill>
    <fill>
      <patternFill patternType="solid">
        <fgColor rgb="00F8D7D3"/>
      </patternFill>
    </fill>
    <fill>
      <patternFill patternType="solid">
        <fgColor rgb="00FFF2CC"/>
      </patternFill>
    </fill>
    <fill>
      <patternFill patternType="solid">
        <fgColor rgb="00E2EFDA"/>
      </patternFill>
    </fill>
  </fills>
  <borders count="3">
    <border>
      <left/>
      <right/>
      <top/>
      <bottom/>
      <diagonal/>
    </border>
    <border>
      <bottom style="medium">
        <color rgb="00F15A29"/>
      </bottom>
    </border>
    <border>
      <bottom style="thin">
        <color rgb="00D9DDE2"/>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0" fillId="3" borderId="2" applyAlignment="1" pivotButton="0" quotePrefix="0" xfId="0">
      <alignment vertical="top" wrapText="1"/>
    </xf>
    <xf numFmtId="0" fontId="0" fillId="0" borderId="2" applyAlignment="1" pivotButton="0" quotePrefix="0" xfId="0">
      <alignment vertical="top" wrapText="1"/>
    </xf>
    <xf numFmtId="0" fontId="5" fillId="4" borderId="2" applyAlignment="1" pivotButton="0" quotePrefix="0" xfId="0">
      <alignment vertical="top" wrapText="1"/>
    </xf>
    <xf numFmtId="0" fontId="5" fillId="5" borderId="2" applyAlignment="1" pivotButton="0" quotePrefix="0" xfId="0">
      <alignment vertical="top" wrapText="1"/>
    </xf>
    <xf numFmtId="0" fontId="5" fillId="6" borderId="2" applyAlignment="1" pivotButton="0" quotePrefix="0" xfId="0">
      <alignment vertical="top" wrapText="1"/>
    </xf>
    <xf numFmtId="0" fontId="5" fillId="7" borderId="2" applyAlignment="1" pivotButton="0" quotePrefix="0" xfId="0">
      <alignment vertical="top" wrapText="1"/>
    </xf>
    <xf numFmtId="0" fontId="5" fillId="8" borderId="2" applyAlignment="1" pivotButton="0" quotePrefix="0" xfId="0">
      <alignment vertical="top" wrapText="1"/>
    </xf>
    <xf numFmtId="164" fontId="0" fillId="3" borderId="2" applyAlignment="1" pivotButton="0" quotePrefix="0" xfId="0">
      <alignment vertical="top" wrapText="1"/>
    </xf>
    <xf numFmtId="164"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showGridLines="0" workbookViewId="0">
      <pane ySplit="5" topLeftCell="A6" activePane="bottomLeft" state="frozen"/>
      <selection pane="bottomLeft" activeCell="A1" sqref="A1"/>
    </sheetView>
  </sheetViews>
  <sheetFormatPr baseColWidth="8" defaultRowHeight="15"/>
  <cols>
    <col width="38" customWidth="1" min="1" max="1"/>
    <col width="14"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s>
  <sheetData>
    <row r="1">
      <c r="A1" s="1" t="inlineStr">
        <is>
          <t>EREQ-2147 UAT workbook: Expedited request option</t>
        </is>
      </c>
    </row>
    <row r="2">
      <c r="A2" s="2" t="inlineStr">
        <is>
          <t>Prepared 2026-09-28 from the EREQ-2147 ticket, Harborline MSA (2023) + Amendment 2 (2026), Tri-County Services Agreement (2024). Due dates from business_days.py.</t>
        </is>
      </c>
    </row>
    <row r="3">
      <c r="A3" s="3" t="inlineStr">
        <is>
          <t>PROVISIONAL: modules, severity rubric and holiday calendar are the SAMPLE reference files. Confirm with Heidy before sign-off (OQ-12).</t>
        </is>
      </c>
    </row>
    <row r="5">
      <c r="A5" s="4" t="inlineStr">
        <is>
          <t>Module</t>
        </is>
      </c>
      <c r="B5" s="4" t="inlineStr">
        <is>
          <t>Cases</t>
        </is>
      </c>
      <c r="C5" s="4" t="inlineStr">
        <is>
          <t>S1</t>
        </is>
      </c>
      <c r="D5" s="4" t="inlineStr">
        <is>
          <t>S2</t>
        </is>
      </c>
      <c r="E5" s="4" t="inlineStr">
        <is>
          <t>S3</t>
        </is>
      </c>
      <c r="F5" s="4" t="inlineStr">
        <is>
          <t>S4</t>
        </is>
      </c>
      <c r="G5" s="4" t="inlineStr">
        <is>
          <t>Pass</t>
        </is>
      </c>
      <c r="H5" s="4" t="inlineStr">
        <is>
          <t>Fail</t>
        </is>
      </c>
      <c r="I5" s="4" t="inlineStr">
        <is>
          <t>Blocked</t>
        </is>
      </c>
      <c r="J5" s="4" t="inlineStr">
        <is>
          <t>Not run</t>
        </is>
      </c>
      <c r="K5" s="4" t="inlineStr">
        <is>
          <t>Blocked by OQ</t>
        </is>
      </c>
    </row>
    <row r="6">
      <c r="A6" s="5" t="inlineStr">
        <is>
          <t>Requestor Portal - Intake</t>
        </is>
      </c>
      <c r="B6" s="5">
        <f>COUNTIF('Test cases'!$B$6:$B$205,"Requestor Portal - Intake")</f>
        <v/>
      </c>
      <c r="C6" s="5">
        <f>COUNTIFS('Test cases'!$B$6:$B$205,"Requestor Portal - Intake",'Test cases'!$I$6:$I$205,"S1")</f>
        <v/>
      </c>
      <c r="D6" s="5">
        <f>COUNTIFS('Test cases'!$B$6:$B$205,"Requestor Portal - Intake",'Test cases'!$I$6:$I$205,"S2")</f>
        <v/>
      </c>
      <c r="E6" s="5">
        <f>COUNTIFS('Test cases'!$B$6:$B$205,"Requestor Portal - Intake",'Test cases'!$I$6:$I$205,"S3")</f>
        <v/>
      </c>
      <c r="F6" s="5">
        <f>COUNTIFS('Test cases'!$B$6:$B$205,"Requestor Portal - Intake",'Test cases'!$I$6:$I$205,"S4")</f>
        <v/>
      </c>
      <c r="G6" s="5">
        <f>COUNTIFS('Test cases'!$B$6:$B$205,"Requestor Portal - Intake",'Test cases'!$K$6:$K$205,"Pass")</f>
        <v/>
      </c>
      <c r="H6" s="5">
        <f>COUNTIFS('Test cases'!$B$6:$B$205,"Requestor Portal - Intake",'Test cases'!$K$6:$K$205,"Fail")</f>
        <v/>
      </c>
      <c r="I6" s="5">
        <f>COUNTIFS('Test cases'!$B$6:$B$205,"Requestor Portal - Intake",'Test cases'!$K$6:$K$205,"Blocked")</f>
        <v/>
      </c>
      <c r="J6" s="5">
        <f>COUNTIFS('Test cases'!$B$6:$B$205,"Requestor Portal - Intake",'Test cases'!$K$6:$K$205,"Not run")</f>
        <v/>
      </c>
      <c r="K6" s="5">
        <f>COUNTIFS('Test cases'!$B$6:$B$205,"Requestor Portal - Intake",'Test cases'!$J$6:$J$205,"OQ-*")</f>
        <v/>
      </c>
    </row>
    <row r="7">
      <c r="A7" s="6" t="inlineStr">
        <is>
          <t>Intake Processing</t>
        </is>
      </c>
      <c r="B7" s="6">
        <f>COUNTIF('Test cases'!$B$6:$B$205,"Intake Processing")</f>
        <v/>
      </c>
      <c r="C7" s="6">
        <f>COUNTIFS('Test cases'!$B$6:$B$205,"Intake Processing",'Test cases'!$I$6:$I$205,"S1")</f>
        <v/>
      </c>
      <c r="D7" s="6">
        <f>COUNTIFS('Test cases'!$B$6:$B$205,"Intake Processing",'Test cases'!$I$6:$I$205,"S2")</f>
        <v/>
      </c>
      <c r="E7" s="6">
        <f>COUNTIFS('Test cases'!$B$6:$B$205,"Intake Processing",'Test cases'!$I$6:$I$205,"S3")</f>
        <v/>
      </c>
      <c r="F7" s="6">
        <f>COUNTIFS('Test cases'!$B$6:$B$205,"Intake Processing",'Test cases'!$I$6:$I$205,"S4")</f>
        <v/>
      </c>
      <c r="G7" s="6">
        <f>COUNTIFS('Test cases'!$B$6:$B$205,"Intake Processing",'Test cases'!$K$6:$K$205,"Pass")</f>
        <v/>
      </c>
      <c r="H7" s="6">
        <f>COUNTIFS('Test cases'!$B$6:$B$205,"Intake Processing",'Test cases'!$K$6:$K$205,"Fail")</f>
        <v/>
      </c>
      <c r="I7" s="6">
        <f>COUNTIFS('Test cases'!$B$6:$B$205,"Intake Processing",'Test cases'!$K$6:$K$205,"Blocked")</f>
        <v/>
      </c>
      <c r="J7" s="6">
        <f>COUNTIFS('Test cases'!$B$6:$B$205,"Intake Processing",'Test cases'!$K$6:$K$205,"Not run")</f>
        <v/>
      </c>
      <c r="K7" s="6">
        <f>COUNTIFS('Test cases'!$B$6:$B$205,"Intake Processing",'Test cases'!$J$6:$J$205,"OQ-*")</f>
        <v/>
      </c>
    </row>
    <row r="8">
      <c r="A8" s="5" t="inlineStr">
        <is>
          <t>Queue &amp; Assignment</t>
        </is>
      </c>
      <c r="B8" s="5">
        <f>COUNTIF('Test cases'!$B$6:$B$205,"Queue &amp; Assignment")</f>
        <v/>
      </c>
      <c r="C8" s="5">
        <f>COUNTIFS('Test cases'!$B$6:$B$205,"Queue &amp; Assignment",'Test cases'!$I$6:$I$205,"S1")</f>
        <v/>
      </c>
      <c r="D8" s="5">
        <f>COUNTIFS('Test cases'!$B$6:$B$205,"Queue &amp; Assignment",'Test cases'!$I$6:$I$205,"S2")</f>
        <v/>
      </c>
      <c r="E8" s="5">
        <f>COUNTIFS('Test cases'!$B$6:$B$205,"Queue &amp; Assignment",'Test cases'!$I$6:$I$205,"S3")</f>
        <v/>
      </c>
      <c r="F8" s="5">
        <f>COUNTIFS('Test cases'!$B$6:$B$205,"Queue &amp; Assignment",'Test cases'!$I$6:$I$205,"S4")</f>
        <v/>
      </c>
      <c r="G8" s="5">
        <f>COUNTIFS('Test cases'!$B$6:$B$205,"Queue &amp; Assignment",'Test cases'!$K$6:$K$205,"Pass")</f>
        <v/>
      </c>
      <c r="H8" s="5">
        <f>COUNTIFS('Test cases'!$B$6:$B$205,"Queue &amp; Assignment",'Test cases'!$K$6:$K$205,"Fail")</f>
        <v/>
      </c>
      <c r="I8" s="5">
        <f>COUNTIFS('Test cases'!$B$6:$B$205,"Queue &amp; Assignment",'Test cases'!$K$6:$K$205,"Blocked")</f>
        <v/>
      </c>
      <c r="J8" s="5">
        <f>COUNTIFS('Test cases'!$B$6:$B$205,"Queue &amp; Assignment",'Test cases'!$K$6:$K$205,"Not run")</f>
        <v/>
      </c>
      <c r="K8" s="5">
        <f>COUNTIFS('Test cases'!$B$6:$B$205,"Queue &amp; Assignment",'Test cases'!$J$6:$J$205,"OQ-*")</f>
        <v/>
      </c>
    </row>
    <row r="9">
      <c r="A9" s="6" t="inlineStr">
        <is>
          <t>Page Selection</t>
        </is>
      </c>
      <c r="B9" s="6">
        <f>COUNTIF('Test cases'!$B$6:$B$205,"Page Selection")</f>
        <v/>
      </c>
      <c r="C9" s="6">
        <f>COUNTIFS('Test cases'!$B$6:$B$205,"Page Selection",'Test cases'!$I$6:$I$205,"S1")</f>
        <v/>
      </c>
      <c r="D9" s="6">
        <f>COUNTIFS('Test cases'!$B$6:$B$205,"Page Selection",'Test cases'!$I$6:$I$205,"S2")</f>
        <v/>
      </c>
      <c r="E9" s="6">
        <f>COUNTIFS('Test cases'!$B$6:$B$205,"Page Selection",'Test cases'!$I$6:$I$205,"S3")</f>
        <v/>
      </c>
      <c r="F9" s="6">
        <f>COUNTIFS('Test cases'!$B$6:$B$205,"Page Selection",'Test cases'!$I$6:$I$205,"S4")</f>
        <v/>
      </c>
      <c r="G9" s="6">
        <f>COUNTIFS('Test cases'!$B$6:$B$205,"Page Selection",'Test cases'!$K$6:$K$205,"Pass")</f>
        <v/>
      </c>
      <c r="H9" s="6">
        <f>COUNTIFS('Test cases'!$B$6:$B$205,"Page Selection",'Test cases'!$K$6:$K$205,"Fail")</f>
        <v/>
      </c>
      <c r="I9" s="6">
        <f>COUNTIFS('Test cases'!$B$6:$B$205,"Page Selection",'Test cases'!$K$6:$K$205,"Blocked")</f>
        <v/>
      </c>
      <c r="J9" s="6">
        <f>COUNTIFS('Test cases'!$B$6:$B$205,"Page Selection",'Test cases'!$K$6:$K$205,"Not run")</f>
        <v/>
      </c>
      <c r="K9" s="6">
        <f>COUNTIFS('Test cases'!$B$6:$B$205,"Page Selection",'Test cases'!$J$6:$J$205,"OQ-*")</f>
        <v/>
      </c>
    </row>
    <row r="10">
      <c r="A10" s="5" t="inlineStr">
        <is>
          <t>Redaction</t>
        </is>
      </c>
      <c r="B10" s="5">
        <f>COUNTIF('Test cases'!$B$6:$B$205,"Redaction")</f>
        <v/>
      </c>
      <c r="C10" s="5">
        <f>COUNTIFS('Test cases'!$B$6:$B$205,"Redaction",'Test cases'!$I$6:$I$205,"S1")</f>
        <v/>
      </c>
      <c r="D10" s="5">
        <f>COUNTIFS('Test cases'!$B$6:$B$205,"Redaction",'Test cases'!$I$6:$I$205,"S2")</f>
        <v/>
      </c>
      <c r="E10" s="5">
        <f>COUNTIFS('Test cases'!$B$6:$B$205,"Redaction",'Test cases'!$I$6:$I$205,"S3")</f>
        <v/>
      </c>
      <c r="F10" s="5">
        <f>COUNTIFS('Test cases'!$B$6:$B$205,"Redaction",'Test cases'!$I$6:$I$205,"S4")</f>
        <v/>
      </c>
      <c r="G10" s="5">
        <f>COUNTIFS('Test cases'!$B$6:$B$205,"Redaction",'Test cases'!$K$6:$K$205,"Pass")</f>
        <v/>
      </c>
      <c r="H10" s="5">
        <f>COUNTIFS('Test cases'!$B$6:$B$205,"Redaction",'Test cases'!$K$6:$K$205,"Fail")</f>
        <v/>
      </c>
      <c r="I10" s="5">
        <f>COUNTIFS('Test cases'!$B$6:$B$205,"Redaction",'Test cases'!$K$6:$K$205,"Blocked")</f>
        <v/>
      </c>
      <c r="J10" s="5">
        <f>COUNTIFS('Test cases'!$B$6:$B$205,"Redaction",'Test cases'!$K$6:$K$205,"Not run")</f>
        <v/>
      </c>
      <c r="K10" s="5">
        <f>COUNTIFS('Test cases'!$B$6:$B$205,"Redaction",'Test cases'!$J$6:$J$205,"OQ-*")</f>
        <v/>
      </c>
    </row>
    <row r="11">
      <c r="A11" s="6" t="inlineStr">
        <is>
          <t>Billing</t>
        </is>
      </c>
      <c r="B11" s="6">
        <f>COUNTIF('Test cases'!$B$6:$B$205,"Billing")</f>
        <v/>
      </c>
      <c r="C11" s="6">
        <f>COUNTIFS('Test cases'!$B$6:$B$205,"Billing",'Test cases'!$I$6:$I$205,"S1")</f>
        <v/>
      </c>
      <c r="D11" s="6">
        <f>COUNTIFS('Test cases'!$B$6:$B$205,"Billing",'Test cases'!$I$6:$I$205,"S2")</f>
        <v/>
      </c>
      <c r="E11" s="6">
        <f>COUNTIFS('Test cases'!$B$6:$B$205,"Billing",'Test cases'!$I$6:$I$205,"S3")</f>
        <v/>
      </c>
      <c r="F11" s="6">
        <f>COUNTIFS('Test cases'!$B$6:$B$205,"Billing",'Test cases'!$I$6:$I$205,"S4")</f>
        <v/>
      </c>
      <c r="G11" s="6">
        <f>COUNTIFS('Test cases'!$B$6:$B$205,"Billing",'Test cases'!$K$6:$K$205,"Pass")</f>
        <v/>
      </c>
      <c r="H11" s="6">
        <f>COUNTIFS('Test cases'!$B$6:$B$205,"Billing",'Test cases'!$K$6:$K$205,"Fail")</f>
        <v/>
      </c>
      <c r="I11" s="6">
        <f>COUNTIFS('Test cases'!$B$6:$B$205,"Billing",'Test cases'!$K$6:$K$205,"Blocked")</f>
        <v/>
      </c>
      <c r="J11" s="6">
        <f>COUNTIFS('Test cases'!$B$6:$B$205,"Billing",'Test cases'!$K$6:$K$205,"Not run")</f>
        <v/>
      </c>
      <c r="K11" s="6">
        <f>COUNTIFS('Test cases'!$B$6:$B$205,"Billing",'Test cases'!$J$6:$J$205,"OQ-*")</f>
        <v/>
      </c>
    </row>
    <row r="12">
      <c r="A12" s="5" t="inlineStr">
        <is>
          <t>Notifications</t>
        </is>
      </c>
      <c r="B12" s="5">
        <f>COUNTIF('Test cases'!$B$6:$B$205,"Notifications")</f>
        <v/>
      </c>
      <c r="C12" s="5">
        <f>COUNTIFS('Test cases'!$B$6:$B$205,"Notifications",'Test cases'!$I$6:$I$205,"S1")</f>
        <v/>
      </c>
      <c r="D12" s="5">
        <f>COUNTIFS('Test cases'!$B$6:$B$205,"Notifications",'Test cases'!$I$6:$I$205,"S2")</f>
        <v/>
      </c>
      <c r="E12" s="5">
        <f>COUNTIFS('Test cases'!$B$6:$B$205,"Notifications",'Test cases'!$I$6:$I$205,"S3")</f>
        <v/>
      </c>
      <c r="F12" s="5">
        <f>COUNTIFS('Test cases'!$B$6:$B$205,"Notifications",'Test cases'!$I$6:$I$205,"S4")</f>
        <v/>
      </c>
      <c r="G12" s="5">
        <f>COUNTIFS('Test cases'!$B$6:$B$205,"Notifications",'Test cases'!$K$6:$K$205,"Pass")</f>
        <v/>
      </c>
      <c r="H12" s="5">
        <f>COUNTIFS('Test cases'!$B$6:$B$205,"Notifications",'Test cases'!$K$6:$K$205,"Fail")</f>
        <v/>
      </c>
      <c r="I12" s="5">
        <f>COUNTIFS('Test cases'!$B$6:$B$205,"Notifications",'Test cases'!$K$6:$K$205,"Blocked")</f>
        <v/>
      </c>
      <c r="J12" s="5">
        <f>COUNTIFS('Test cases'!$B$6:$B$205,"Notifications",'Test cases'!$K$6:$K$205,"Not run")</f>
        <v/>
      </c>
      <c r="K12" s="5">
        <f>COUNTIFS('Test cases'!$B$6:$B$205,"Notifications",'Test cases'!$J$6:$J$205,"OQ-*")</f>
        <v/>
      </c>
    </row>
    <row r="13">
      <c r="A13" s="6" t="inlineStr">
        <is>
          <t>Portal Delivery</t>
        </is>
      </c>
      <c r="B13" s="6">
        <f>COUNTIF('Test cases'!$B$6:$B$205,"Portal Delivery")</f>
        <v/>
      </c>
      <c r="C13" s="6">
        <f>COUNTIFS('Test cases'!$B$6:$B$205,"Portal Delivery",'Test cases'!$I$6:$I$205,"S1")</f>
        <v/>
      </c>
      <c r="D13" s="6">
        <f>COUNTIFS('Test cases'!$B$6:$B$205,"Portal Delivery",'Test cases'!$I$6:$I$205,"S2")</f>
        <v/>
      </c>
      <c r="E13" s="6">
        <f>COUNTIFS('Test cases'!$B$6:$B$205,"Portal Delivery",'Test cases'!$I$6:$I$205,"S3")</f>
        <v/>
      </c>
      <c r="F13" s="6">
        <f>COUNTIFS('Test cases'!$B$6:$B$205,"Portal Delivery",'Test cases'!$I$6:$I$205,"S4")</f>
        <v/>
      </c>
      <c r="G13" s="6">
        <f>COUNTIFS('Test cases'!$B$6:$B$205,"Portal Delivery",'Test cases'!$K$6:$K$205,"Pass")</f>
        <v/>
      </c>
      <c r="H13" s="6">
        <f>COUNTIFS('Test cases'!$B$6:$B$205,"Portal Delivery",'Test cases'!$K$6:$K$205,"Fail")</f>
        <v/>
      </c>
      <c r="I13" s="6">
        <f>COUNTIFS('Test cases'!$B$6:$B$205,"Portal Delivery",'Test cases'!$K$6:$K$205,"Blocked")</f>
        <v/>
      </c>
      <c r="J13" s="6">
        <f>COUNTIFS('Test cases'!$B$6:$B$205,"Portal Delivery",'Test cases'!$K$6:$K$205,"Not run")</f>
        <v/>
      </c>
      <c r="K13" s="6">
        <f>COUNTIFS('Test cases'!$B$6:$B$205,"Portal Delivery",'Test cases'!$J$6:$J$205,"OQ-*")</f>
        <v/>
      </c>
    </row>
    <row r="14">
      <c r="A14" s="5" t="inlineStr">
        <is>
          <t>Reporting</t>
        </is>
      </c>
      <c r="B14" s="5">
        <f>COUNTIF('Test cases'!$B$6:$B$205,"Reporting")</f>
        <v/>
      </c>
      <c r="C14" s="5">
        <f>COUNTIFS('Test cases'!$B$6:$B$205,"Reporting",'Test cases'!$I$6:$I$205,"S1")</f>
        <v/>
      </c>
      <c r="D14" s="5">
        <f>COUNTIFS('Test cases'!$B$6:$B$205,"Reporting",'Test cases'!$I$6:$I$205,"S2")</f>
        <v/>
      </c>
      <c r="E14" s="5">
        <f>COUNTIFS('Test cases'!$B$6:$B$205,"Reporting",'Test cases'!$I$6:$I$205,"S3")</f>
        <v/>
      </c>
      <c r="F14" s="5">
        <f>COUNTIFS('Test cases'!$B$6:$B$205,"Reporting",'Test cases'!$I$6:$I$205,"S4")</f>
        <v/>
      </c>
      <c r="G14" s="5">
        <f>COUNTIFS('Test cases'!$B$6:$B$205,"Reporting",'Test cases'!$K$6:$K$205,"Pass")</f>
        <v/>
      </c>
      <c r="H14" s="5">
        <f>COUNTIFS('Test cases'!$B$6:$B$205,"Reporting",'Test cases'!$K$6:$K$205,"Fail")</f>
        <v/>
      </c>
      <c r="I14" s="5">
        <f>COUNTIFS('Test cases'!$B$6:$B$205,"Reporting",'Test cases'!$K$6:$K$205,"Blocked")</f>
        <v/>
      </c>
      <c r="J14" s="5">
        <f>COUNTIFS('Test cases'!$B$6:$B$205,"Reporting",'Test cases'!$K$6:$K$205,"Not run")</f>
        <v/>
      </c>
      <c r="K14" s="5">
        <f>COUNTIFS('Test cases'!$B$6:$B$205,"Reporting",'Test cases'!$J$6:$J$205,"OQ-*")</f>
        <v/>
      </c>
    </row>
    <row r="15">
      <c r="A15" s="6" t="inlineStr">
        <is>
          <t>Admin &amp; Configuration</t>
        </is>
      </c>
      <c r="B15" s="6">
        <f>COUNTIF('Test cases'!$B$6:$B$205,"Admin &amp; Configuration")</f>
        <v/>
      </c>
      <c r="C15" s="6">
        <f>COUNTIFS('Test cases'!$B$6:$B$205,"Admin &amp; Configuration",'Test cases'!$I$6:$I$205,"S1")</f>
        <v/>
      </c>
      <c r="D15" s="6">
        <f>COUNTIFS('Test cases'!$B$6:$B$205,"Admin &amp; Configuration",'Test cases'!$I$6:$I$205,"S2")</f>
        <v/>
      </c>
      <c r="E15" s="6">
        <f>COUNTIFS('Test cases'!$B$6:$B$205,"Admin &amp; Configuration",'Test cases'!$I$6:$I$205,"S3")</f>
        <v/>
      </c>
      <c r="F15" s="6">
        <f>COUNTIFS('Test cases'!$B$6:$B$205,"Admin &amp; Configuration",'Test cases'!$I$6:$I$205,"S4")</f>
        <v/>
      </c>
      <c r="G15" s="6">
        <f>COUNTIFS('Test cases'!$B$6:$B$205,"Admin &amp; Configuration",'Test cases'!$K$6:$K$205,"Pass")</f>
        <v/>
      </c>
      <c r="H15" s="6">
        <f>COUNTIFS('Test cases'!$B$6:$B$205,"Admin &amp; Configuration",'Test cases'!$K$6:$K$205,"Fail")</f>
        <v/>
      </c>
      <c r="I15" s="6">
        <f>COUNTIFS('Test cases'!$B$6:$B$205,"Admin &amp; Configuration",'Test cases'!$K$6:$K$205,"Blocked")</f>
        <v/>
      </c>
      <c r="J15" s="6">
        <f>COUNTIFS('Test cases'!$B$6:$B$205,"Admin &amp; Configuration",'Test cases'!$K$6:$K$205,"Not run")</f>
        <v/>
      </c>
      <c r="K15" s="6">
        <f>COUNTIFS('Test cases'!$B$6:$B$205,"Admin &amp; Configuration",'Test cases'!$J$6:$J$205,"OQ-*")</f>
        <v/>
      </c>
    </row>
    <row r="16">
      <c r="A16" s="5" t="inlineStr">
        <is>
          <t>TOTAL</t>
        </is>
      </c>
      <c r="B16" s="5">
        <f>COUNTIF('Test cases'!$A$6:$A$205,"EREQ-2147-*")</f>
        <v/>
      </c>
      <c r="C16" s="5">
        <f>COUNTIF('Test cases'!$I$6:$I$205,"S1")</f>
        <v/>
      </c>
      <c r="D16" s="5">
        <f>COUNTIF('Test cases'!$I$6:$I$205,"S2")</f>
        <v/>
      </c>
      <c r="E16" s="5">
        <f>COUNTIF('Test cases'!$I$6:$I$205,"S3")</f>
        <v/>
      </c>
      <c r="F16" s="5">
        <f>COUNTIF('Test cases'!$I$6:$I$205,"S4")</f>
        <v/>
      </c>
      <c r="G16" s="5">
        <f>COUNTIF('Test cases'!$K$6:$K$205,"Pass")</f>
        <v/>
      </c>
      <c r="H16" s="5">
        <f>COUNTIF('Test cases'!$K$6:$K$205,"Fail")</f>
        <v/>
      </c>
      <c r="I16" s="5">
        <f>COUNTIF('Test cases'!$K$6:$K$205,"Blocked")</f>
        <v/>
      </c>
      <c r="J16" s="5">
        <f>COUNTIF('Test cases'!$K$6:$K$205,"Not run")</f>
        <v/>
      </c>
      <c r="K16" s="5">
        <f>COUNTIF('Test cases'!$J$6:$J$205,"OQ-*")</f>
        <v/>
      </c>
    </row>
    <row r="17">
      <c r="A17" s="6" t="inlineStr"/>
      <c r="B17" s="6" t="inlineStr"/>
      <c r="C17" s="6" t="inlineStr"/>
      <c r="D17" s="6" t="inlineStr"/>
      <c r="E17" s="6" t="inlineStr"/>
      <c r="F17" s="6" t="inlineStr"/>
      <c r="G17" s="6" t="inlineStr"/>
      <c r="H17" s="6" t="inlineStr"/>
      <c r="I17" s="6" t="inlineStr"/>
      <c r="J17" s="6" t="inlineStr"/>
      <c r="K17" s="6" t="inlineStr"/>
    </row>
    <row r="18">
      <c r="A18" s="5" t="inlineStr">
        <is>
          <t>Open questions still unanswered</t>
        </is>
      </c>
      <c r="B18" s="5">
        <f>COUNTIF('Open questions'!$F$6:$F$105,"Open")</f>
        <v/>
      </c>
      <c r="C18" s="5" t="inlineStr"/>
      <c r="D18" s="5" t="inlineStr"/>
      <c r="E18" s="5" t="inlineStr"/>
      <c r="F18" s="5" t="inlineStr"/>
      <c r="G18" s="5" t="inlineStr"/>
      <c r="H18" s="5" t="inlineStr"/>
      <c r="I18" s="5" t="inlineStr"/>
      <c r="J18" s="5" t="inlineStr"/>
      <c r="K18" s="5" t="inlineStr"/>
    </row>
    <row r="19">
      <c r="A19" s="6" t="inlineStr">
        <is>
          <t>S1 and S2 cases not yet passed</t>
        </is>
      </c>
      <c r="B19" s="6">
        <f>COUNTIFS('Test cases'!$I$6:$I$205,"S1",'Test cases'!$K$6:$K$205,"&lt;&gt;Pass",'Test cases'!$A$6:$A$205,"EREQ-2147-*")+COUNTIFS('Test cases'!$I$6:$I$205,"S2",'Test cases'!$K$6:$K$205,"&lt;&gt;Pass",'Test cases'!$A$6:$A$205,"EREQ-2147-*")</f>
        <v/>
      </c>
      <c r="C19" s="6" t="inlineStr"/>
      <c r="D19" s="6" t="inlineStr"/>
      <c r="E19" s="6" t="inlineStr"/>
      <c r="F19" s="6" t="inlineStr"/>
      <c r="G19" s="6" t="inlineStr"/>
      <c r="H19" s="6" t="inlineStr"/>
      <c r="I19" s="6" t="inlineStr"/>
      <c r="J19" s="6" t="inlineStr"/>
      <c r="K19" s="6" t="inlineStr"/>
    </row>
    <row r="20">
      <c r="A20" s="5" t="inlineStr">
        <is>
          <t>Open defects</t>
        </is>
      </c>
      <c r="B20" s="5">
        <f>COUNTIFS('Defect log'!$G$6:$G$205,"&lt;&gt;",'Defect log'!$H$6:$H$205,"&lt;&gt;Closed")</f>
        <v/>
      </c>
      <c r="C20" s="5" t="inlineStr"/>
      <c r="D20" s="5" t="inlineStr"/>
      <c r="E20" s="5" t="inlineStr"/>
      <c r="F20" s="5" t="inlineStr"/>
      <c r="G20" s="5" t="inlineStr"/>
      <c r="H20" s="5" t="inlineStr"/>
      <c r="I20" s="5" t="inlineStr"/>
      <c r="J20" s="5" t="inlineStr"/>
      <c r="K20" s="5" t="inlineStr"/>
    </row>
    <row r="21">
      <c r="A21" s="6" t="inlineStr">
        <is>
          <t>Exit criteria met?</t>
        </is>
      </c>
      <c r="B21" s="6">
        <f>IF(AND(B18=0,B19=0,COUNTIFS('Defect log'!$G$6:$G$205,"S1",'Defect log'!$H$6:$H$205,"&lt;&gt;Closed")=0,COUNTIFS('Defect log'!$G$6:$G$205,"S2",'Defect log'!$H$6:$H$205,"&lt;&gt;Closed")=0),"YES","NO")</f>
        <v/>
      </c>
      <c r="C21" s="6" t="inlineStr"/>
      <c r="D21" s="6" t="inlineStr"/>
      <c r="E21" s="6" t="inlineStr"/>
      <c r="F21" s="6" t="inlineStr"/>
      <c r="G21" s="6" t="inlineStr"/>
      <c r="H21" s="6" t="inlineStr"/>
      <c r="I21" s="6" t="inlineStr"/>
      <c r="J21" s="6" t="inlineStr"/>
      <c r="K21" s="6" t="inlineStr"/>
    </row>
    <row r="22">
      <c r="A22" s="5" t="inlineStr">
        <is>
          <t>Teams status line (copy this cell)</t>
        </is>
      </c>
      <c r="B22" s="5">
        <f>"EREQ-2147 UAT: "&amp;COUNTIF('Test cases'!$K$6:$K$205,"Pass")&amp;" pass, "&amp;COUNTIF('Test cases'!$K$6:$K$205,"Fail")&amp;" fail, "&amp;COUNTIF('Test cases'!$K$6:$K$205,"Blocked")&amp;" blocked, "&amp;COUNTIF('Test cases'!$K$6:$K$205,"Not run")&amp;" not run of "&amp;COUNTIF('Test cases'!$A$6:$A$205,"EREQ-2147-*")&amp;" cases. "&amp;COUNTIF('Open questions'!$F$6:$F$105,"Open")&amp;" open questions. Exit criteria met: "&amp;B21&amp;"."</f>
        <v/>
      </c>
      <c r="C22" s="5" t="inlineStr"/>
      <c r="D22" s="5" t="inlineStr"/>
      <c r="E22" s="5" t="inlineStr"/>
      <c r="F22" s="5" t="inlineStr"/>
      <c r="G22" s="5" t="inlineStr"/>
      <c r="H22" s="5" t="inlineStr"/>
      <c r="I22" s="5" t="inlineStr"/>
      <c r="J22" s="5" t="inlineStr"/>
      <c r="K22" s="5" t="inlineStr"/>
    </row>
  </sheetData>
  <autoFilter ref="A5:K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5"/>
  <sheetViews>
    <sheetView showGridLines="0" workbookViewId="0">
      <pane ySplit="5" topLeftCell="A6" activePane="bottomLeft" state="frozen"/>
      <selection pane="bottomLeft" activeCell="A1" sqref="A1"/>
    </sheetView>
  </sheetViews>
  <sheetFormatPr baseColWidth="8" defaultRowHeight="15"/>
  <cols>
    <col width="15" customWidth="1" min="1" max="1"/>
    <col width="20" customWidth="1" min="2" max="2"/>
    <col width="32" customWidth="1" min="3" max="3"/>
    <col width="18" customWidth="1" min="4" max="4"/>
    <col width="34" customWidth="1" min="5" max="5"/>
    <col width="34" customWidth="1" min="6" max="6"/>
    <col width="50" customWidth="1" min="7" max="7"/>
    <col width="60" customWidth="1" min="8" max="8"/>
    <col width="10" customWidth="1" min="9" max="9"/>
    <col width="10" customWidth="1" min="10" max="10"/>
    <col width="11" customWidth="1" min="11" max="11"/>
    <col width="12" customWidth="1" min="12" max="12"/>
    <col width="11" customWidth="1" min="13" max="13"/>
    <col width="30" customWidth="1" min="14" max="14"/>
  </cols>
  <sheetData>
    <row r="1">
      <c r="A1" s="1" t="inlineStr">
        <is>
          <t>EREQ-2147 UAT workbook: Expedited request option</t>
        </is>
      </c>
    </row>
    <row r="2">
      <c r="A2" s="2" t="inlineStr">
        <is>
          <t>Prepared 2026-09-28 from the EREQ-2147 ticket, Harborline MSA (2023) + Amendment 2 (2026), Tri-County Services Agreement (2024). Due dates from business_days.py.</t>
        </is>
      </c>
    </row>
    <row r="3">
      <c r="A3" s="3" t="inlineStr">
        <is>
          <t>PROVISIONAL: modules, severity rubric and holiday calendar are the SAMPLE reference files. Confirm with Heidy before sign-off (OQ-12).</t>
        </is>
      </c>
    </row>
    <row r="5">
      <c r="A5" s="4" t="inlineStr">
        <is>
          <t>Case ID</t>
        </is>
      </c>
      <c r="B5" s="4" t="inlineStr">
        <is>
          <t>Module</t>
        </is>
      </c>
      <c r="C5" s="4" t="inlineStr">
        <is>
          <t>Scenario</t>
        </is>
      </c>
      <c r="D5" s="4" t="inlineStr">
        <is>
          <t>Covers</t>
        </is>
      </c>
      <c r="E5" s="4" t="inlineStr">
        <is>
          <t>Preconditions</t>
        </is>
      </c>
      <c r="F5" s="4" t="inlineStr">
        <is>
          <t>Test data</t>
        </is>
      </c>
      <c r="G5" s="4" t="inlineStr">
        <is>
          <t>Steps</t>
        </is>
      </c>
      <c r="H5" s="4" t="inlineStr">
        <is>
          <t>Expected result</t>
        </is>
      </c>
      <c r="I5" s="4" t="inlineStr">
        <is>
          <t>Risk if it fails</t>
        </is>
      </c>
      <c r="J5" s="4" t="inlineStr">
        <is>
          <t>Blocked by</t>
        </is>
      </c>
      <c r="K5" s="4" t="inlineStr">
        <is>
          <t>Result</t>
        </is>
      </c>
      <c r="L5" s="4" t="inlineStr">
        <is>
          <t>Tester</t>
        </is>
      </c>
      <c r="M5" s="4" t="inlineStr">
        <is>
          <t>Defect ID</t>
        </is>
      </c>
      <c r="N5" s="4" t="inlineStr">
        <is>
          <t>Notes</t>
        </is>
      </c>
    </row>
    <row r="6">
      <c r="A6" s="5" t="inlineStr">
        <is>
          <t>EREQ-2147-01</t>
        </is>
      </c>
      <c r="B6" s="5" t="inlineStr">
        <is>
          <t>Requestor Portal - Intake</t>
        </is>
      </c>
      <c r="C6" s="5" t="inlineStr">
        <is>
          <t>Expedite checkbox appears on the intake form, unchecked by default</t>
        </is>
      </c>
      <c r="D6" s="5" t="inlineStr">
        <is>
          <t>AC-1, C-1</t>
        </is>
      </c>
      <c r="E6" s="5" t="inlineStr">
        <is>
          <t>Standard setup (Test plan, entry criteria EC-1 to EC-5).</t>
        </is>
      </c>
      <c r="F6" s="5" t="inlineStr">
        <is>
          <t>RQ-01 portal login; client Harborline (CL-01)</t>
        </is>
      </c>
      <c r="G6" s="5" t="inlineStr">
        <is>
          <t>1. Log in to the requestor portal as RQ-01.
2. Start a new request for claim CL-01.
3. Look at the intake form before touching any field.</t>
        </is>
      </c>
      <c r="H6" s="5" t="inlineStr">
        <is>
          <t>A checkbox labeled exactly "Expedite this request (+$35)" is on the form. It is unchecked when the form first loads.</t>
        </is>
      </c>
      <c r="I6" s="7" t="inlineStr">
        <is>
          <t>S2</t>
        </is>
      </c>
      <c r="J6" s="5" t="inlineStr"/>
      <c r="K6" s="8" t="inlineStr">
        <is>
          <t>Not run</t>
        </is>
      </c>
      <c r="L6" s="5" t="inlineStr"/>
      <c r="M6" s="5" t="inlineStr"/>
      <c r="N6" s="5" t="inlineStr"/>
    </row>
    <row r="7">
      <c r="A7" s="6" t="inlineStr">
        <is>
          <t>EREQ-2147-02</t>
        </is>
      </c>
      <c r="B7" s="6" t="inlineStr">
        <is>
          <t>Requestor Portal - Intake</t>
        </is>
      </c>
      <c r="C7" s="6" t="inlineStr">
        <is>
          <t>Expedite choice is saved with the request</t>
        </is>
      </c>
      <c r="D7" s="6" t="inlineStr">
        <is>
          <t>AC-1, C-1</t>
        </is>
      </c>
      <c r="E7" s="6" t="inlineStr">
        <is>
          <t>Standard setup (Test plan, entry criteria EC-1 to EC-5). Received time set by submitting at that time or by the test-env clock override (EC-5).</t>
        </is>
      </c>
      <c r="F7" s="6" t="inlineStr">
        <is>
          <t>R-A: RQ-01, CL-01, F-01, Expedite=Yes, received Mon 2026-10-05 09:00 ET</t>
        </is>
      </c>
      <c r="G7" s="6" t="inlineStr">
        <is>
          <t>1. Log in to the portal as RQ-01.
2. Create a request for CL-01, upload F-01, check "Expedite this request (+$35)".
3. Submit on Mon 2026-10-05 at 09:00 ET.
4. In the Ecosystem, log in as U-03 and open the request.
5. Record the request number in Notes. Later cases reuse R-A.</t>
        </is>
      </c>
      <c r="H7" s="6" t="inlineStr">
        <is>
          <t>The Ecosystem request record shows Expedited = Yes. The portal request detail for RQ-01 also shows the request as expedited.</t>
        </is>
      </c>
      <c r="I7" s="9" t="inlineStr">
        <is>
          <t>S1</t>
        </is>
      </c>
      <c r="J7" s="6" t="inlineStr"/>
      <c r="K7" s="8" t="inlineStr">
        <is>
          <t>Not run</t>
        </is>
      </c>
      <c r="L7" s="6" t="inlineStr"/>
      <c r="M7" s="6" t="inlineStr"/>
      <c r="N7" s="6" t="inlineStr"/>
    </row>
    <row r="8">
      <c r="A8" s="5" t="inlineStr">
        <is>
          <t>EREQ-2147-03</t>
        </is>
      </c>
      <c r="B8" s="5" t="inlineStr">
        <is>
          <t>Requestor Portal - Intake</t>
        </is>
      </c>
      <c r="C8" s="5" t="inlineStr">
        <is>
          <t>Unchecked request is saved as not expedited (control)</t>
        </is>
      </c>
      <c r="D8" s="5" t="inlineStr">
        <is>
          <t>AC-1, C-1, Regression</t>
        </is>
      </c>
      <c r="E8" s="5" t="inlineStr">
        <is>
          <t>Standard setup (Test plan, entry criteria EC-1 to EC-5). Received time set by submitting at that time or by the test-env clock override (EC-5).</t>
        </is>
      </c>
      <c r="F8" s="5" t="inlineStr">
        <is>
          <t>R-B: RQ-01, CL-01, F-01, Expedite=No, received Mon 2026-10-05 09:00 ET</t>
        </is>
      </c>
      <c r="G8" s="5" t="inlineStr">
        <is>
          <t>1. As RQ-01, create the same request as R-A but leave the expedite checkbox unchecked.
2. Submit on Mon 2026-10-05 at 09:00 ET.
3. Open the request in the Ecosystem as U-03.
4. Record the request number in Notes.</t>
        </is>
      </c>
      <c r="H8" s="5" t="inlineStr">
        <is>
          <t>Request record shows Expedited = No. Due date = 2026-10-12 (Mon) (Harborline 5 business days). No EXPEDITE badge.</t>
        </is>
      </c>
      <c r="I8" s="9" t="inlineStr">
        <is>
          <t>S1</t>
        </is>
      </c>
      <c r="J8" s="5" t="inlineStr"/>
      <c r="K8" s="8" t="inlineStr">
        <is>
          <t>Not run</t>
        </is>
      </c>
      <c r="L8" s="5" t="inlineStr"/>
      <c r="M8" s="5" t="inlineStr"/>
      <c r="N8" s="5" t="inlineStr"/>
    </row>
    <row r="9">
      <c r="A9" s="6" t="inlineStr">
        <is>
          <t>EREQ-2147-04</t>
        </is>
      </c>
      <c r="B9" s="6" t="inlineStr">
        <is>
          <t>Requestor Portal - Intake</t>
        </is>
      </c>
      <c r="C9" s="6" t="inlineStr">
        <is>
          <t>Checkbox state survives a validation error</t>
        </is>
      </c>
      <c r="D9" s="6" t="inlineStr">
        <is>
          <t>C-1, Gap</t>
        </is>
      </c>
      <c r="E9" s="6" t="inlineStr">
        <is>
          <t>Standard setup (Test plan, entry criteria EC-1 to EC-5).</t>
        </is>
      </c>
      <c r="F9" s="6" t="inlineStr">
        <is>
          <t>RQ-01; CL-01; F-01</t>
        </is>
      </c>
      <c r="G9" s="6" t="inlineStr">
        <is>
          <t>1. As RQ-01 start a request for CL-01 and check the expedite box.
2. Leave one required field blank and click Submit.
3. When the error shows, look at the checkbox.
4. Fill in the missing field and submit.
5. Open the request in the Ecosystem.</t>
        </is>
      </c>
      <c r="H9" s="6" t="inlineStr">
        <is>
          <t>After the error the checkbox is still checked. The submitted request shows Expedited = Yes. Only one request is created.</t>
        </is>
      </c>
      <c r="I9" s="7" t="inlineStr">
        <is>
          <t>S2</t>
        </is>
      </c>
      <c r="J9" s="6" t="inlineStr"/>
      <c r="K9" s="8" t="inlineStr">
        <is>
          <t>Not run</t>
        </is>
      </c>
      <c r="L9" s="6" t="inlineStr"/>
      <c r="M9" s="6" t="inlineStr"/>
      <c r="N9" s="6" t="inlineStr"/>
    </row>
    <row r="10">
      <c r="A10" s="5" t="inlineStr">
        <is>
          <t>EREQ-2147-05</t>
        </is>
      </c>
      <c r="B10" s="5" t="inlineStr">
        <is>
          <t>Requestor Portal - Intake</t>
        </is>
      </c>
      <c r="C10" s="5" t="inlineStr">
        <is>
          <t>Intake regression with expedite checked: required fields, file types and sizes, duplicate submit</t>
        </is>
      </c>
      <c r="D10" s="5" t="inlineStr">
        <is>
          <t>C-1, Regression</t>
        </is>
      </c>
      <c r="E10" s="5" t="inlineStr">
        <is>
          <t>Standard setup (Test plan, entry criteria EC-1 to EC-5).</t>
        </is>
      </c>
      <c r="F10" s="5" t="inlineStr">
        <is>
          <t>RQ-01; CL-01; F-01 and F-08 (disallowed file type), F-09 (larger than the portal limit)</t>
        </is>
      </c>
      <c r="G10" s="5" t="inlineStr">
        <is>
          <t>1. As RQ-01 start a request for CL-01, check expedite.
2. Try to upload F-08, then F-09.
3. Upload F-01 instead.
4. Remove one required field; try to submit; restore it.
5. Click Submit twice quickly.</t>
        </is>
      </c>
      <c r="H10" s="5" t="inlineStr">
        <is>
          <t>F-08 and F-09 are rejected with the same error messages as on a non-expedited request. Required-field validation is unchanged. Exactly one request is created (check the Ecosystem request list for CL-01 by RQ-01 at that minute).</t>
        </is>
      </c>
      <c r="I10" s="7" t="inlineStr">
        <is>
          <t>S2</t>
        </is>
      </c>
      <c r="J10" s="5" t="inlineStr"/>
      <c r="K10" s="8" t="inlineStr">
        <is>
          <t>Not run</t>
        </is>
      </c>
      <c r="L10" s="5" t="inlineStr"/>
      <c r="M10" s="5" t="inlineStr"/>
      <c r="N10" s="5" t="inlineStr"/>
    </row>
    <row r="11">
      <c r="A11" s="6" t="inlineStr">
        <is>
          <t>EREQ-2147-06</t>
        </is>
      </c>
      <c r="B11" s="6" t="inlineStr">
        <is>
          <t>Requestor Portal - Intake</t>
        </is>
      </c>
      <c r="C11" s="6" t="inlineStr">
        <is>
          <t>Duplicate of an open non-expedited request, submitted as expedited</t>
        </is>
      </c>
      <c r="D11" s="6" t="inlineStr">
        <is>
          <t>C-1, Gap, Regression</t>
        </is>
      </c>
      <c r="E11" s="6" t="inlineStr">
        <is>
          <t>Standard setup (Test plan, entry criteria EC-1 to EC-5). R-B exists and is open.</t>
        </is>
      </c>
      <c r="F11" s="6" t="inlineStr">
        <is>
          <t>RQ-01; CL-01; F-01 (same as R-B)</t>
        </is>
      </c>
      <c r="G11" s="6" t="inlineStr">
        <is>
          <t>1. As RQ-01 submit a new request identical to R-B, with expedite checked.
2. Check the portal response and the Ecosystem request list.</t>
        </is>
      </c>
      <c r="H11" s="6" t="inlineStr">
        <is>
          <t>If OQ-13 = blocked as a duplicate: the portal shows the existing duplicate warning, no new request is created, no fee is added. If OQ-13 = upgrade: no new request; R-B now shows Expedited = Yes with the due date recalculated from the upgrade time (Notes: record the time and date shown). Either way there is no second invoice.</t>
        </is>
      </c>
      <c r="I11" s="7" t="inlineStr">
        <is>
          <t>S2</t>
        </is>
      </c>
      <c r="J11" s="6" t="inlineStr">
        <is>
          <t>OQ-13</t>
        </is>
      </c>
      <c r="K11" s="8" t="inlineStr">
        <is>
          <t>Not run</t>
        </is>
      </c>
      <c r="L11" s="6" t="inlineStr"/>
      <c r="M11" s="6" t="inlineStr"/>
      <c r="N11" s="6" t="inlineStr"/>
    </row>
    <row r="12">
      <c r="A12" s="5" t="inlineStr">
        <is>
          <t>EREQ-2147-07</t>
        </is>
      </c>
      <c r="B12" s="5" t="inlineStr">
        <is>
          <t>Requestor Portal - Intake</t>
        </is>
      </c>
      <c r="C12" s="5" t="inlineStr">
        <is>
          <t>Requestor who is not charged (Workers' Compensation Board) and the expedite option</t>
        </is>
      </c>
      <c r="D12" s="5" t="inlineStr">
        <is>
          <t>C-1, C-4, Gap</t>
        </is>
      </c>
      <c r="E12" s="5" t="inlineStr">
        <is>
          <t>Standard setup (Test plan, entry criteria EC-1 to EC-5).</t>
        </is>
      </c>
      <c r="F12" s="5" t="inlineStr">
        <is>
          <t>R-R: RQ-04, CL-04, F-07, Expedite=Try Yes, received Mon 2026-10-05 09:00 ET</t>
        </is>
      </c>
      <c r="G12" s="5" t="inlineStr">
        <is>
          <t>1. Log in as RQ-04.
2. Start a request for CL-04 (Tri-County) and look for the expedite checkbox.
3. If it is there, check it and submit on Mon 2026-10-05 09:00 ET.
4. Open the request and its invoice in the Ecosystem.</t>
        </is>
      </c>
      <c r="H12" s="5" t="inlineStr">
        <is>
          <t>If OQ-2 = hidden for non-charged requestors: no checkbox; request due 2026-10-12 (Mon) (Tri-County Board, 5 business days); no invoice line. If OQ-2 = offered free: checkbox shown without "+$35", due 2026-10-07 (Wed), invoice shows no $35 line. If OQ-2 = offered and charged: label shows +$35, due 2026-10-07 (Wed), invoice shows Expedite fee $35.00.</t>
        </is>
      </c>
      <c r="I12" s="7" t="inlineStr">
        <is>
          <t>S2</t>
        </is>
      </c>
      <c r="J12" s="5" t="inlineStr">
        <is>
          <t>OQ-2</t>
        </is>
      </c>
      <c r="K12" s="8" t="inlineStr">
        <is>
          <t>Not run</t>
        </is>
      </c>
      <c r="L12" s="5" t="inlineStr"/>
      <c r="M12" s="5" t="inlineStr"/>
      <c r="N12" s="5" t="inlineStr"/>
    </row>
    <row r="13">
      <c r="A13" s="6" t="inlineStr">
        <is>
          <t>EREQ-2147-08</t>
        </is>
      </c>
      <c r="B13" s="6" t="inlineStr">
        <is>
          <t>Requestor Portal - Intake</t>
        </is>
      </c>
      <c r="C13" s="6" t="inlineStr">
        <is>
          <t>Client with expedite switched off</t>
        </is>
      </c>
      <c r="D13" s="6" t="inlineStr">
        <is>
          <t>C-1, Gap</t>
        </is>
      </c>
      <c r="E13" s="6" t="inlineStr">
        <is>
          <t>Standard setup (Test plan, entry criteria EC-1 to EC-5). Expedite switched off for the Tri-County test client by U-02 (if the setting exists).</t>
        </is>
      </c>
      <c r="F13" s="6" t="inlineStr">
        <is>
          <t>RQ-01; CL-04; F-06</t>
        </is>
      </c>
      <c r="G13" s="6" t="inlineStr">
        <is>
          <t>1. Log in as RQ-01.
2. Start a request for CL-04 (Tri-County).
3. Look for the expedite checkbox; submit the request on Mon 2026-10-05 09:00 ET.</t>
        </is>
      </c>
      <c r="H13" s="6" t="inlineStr">
        <is>
          <t>If OQ-2 = per-client setting exists: no expedite checkbox for Tri-County (or the unavailable message CX specifies; record the wording). Request due 2026-10-19 (Mon) (10 business days). If OQ-2 = no per-client setting: the checkbox shows for every client; log it as a finding against OQ-2, not a defect.</t>
        </is>
      </c>
      <c r="I13" s="7" t="inlineStr">
        <is>
          <t>S2</t>
        </is>
      </c>
      <c r="J13" s="6" t="inlineStr">
        <is>
          <t>OQ-2</t>
        </is>
      </c>
      <c r="K13" s="8" t="inlineStr">
        <is>
          <t>Not run</t>
        </is>
      </c>
      <c r="L13" s="6" t="inlineStr"/>
      <c r="M13" s="6" t="inlineStr"/>
      <c r="N13" s="6" t="inlineStr"/>
    </row>
    <row r="14">
      <c r="A14" s="5" t="inlineStr">
        <is>
          <t>EREQ-2147-09</t>
        </is>
      </c>
      <c r="B14" s="5" t="inlineStr">
        <is>
          <t>Requestor Portal - Intake</t>
        </is>
      </c>
      <c r="C14" s="5" t="inlineStr">
        <is>
          <t>Requestor removes or adds expedite after submission</t>
        </is>
      </c>
      <c r="D14" s="5" t="inlineStr">
        <is>
          <t>C-1, Gap</t>
        </is>
      </c>
      <c r="E14" s="5" t="inlineStr">
        <is>
          <t>Standard setup (Test plan, entry criteria EC-1 to EC-5). R-A and R-B submitted.</t>
        </is>
      </c>
      <c r="F14" s="5" t="inlineStr">
        <is>
          <t>R-A, R-B</t>
        </is>
      </c>
      <c r="G14" s="5" t="inlineStr">
        <is>
          <t>1. As RQ-01 open R-A in the portal and try to uncheck expedite.
2. Open R-B and try to add expedite at a known time (record it).</t>
        </is>
      </c>
      <c r="H14" s="5" t="inlineStr">
        <is>
          <t>If OQ-8 = not allowed: no edit control; R-A stays due 2026-10-07 (Wed), R-B stays due 2026-10-12 (Mon). If OQ-8 = allowed: R-A reverts to 2026-10-12 (Mon) and the $35 line is removed; R-B's due date = 2 business days from the time you added it (run business_days.py due with that time) and a $35 line is added.</t>
        </is>
      </c>
      <c r="I14" s="7" t="inlineStr">
        <is>
          <t>S2</t>
        </is>
      </c>
      <c r="J14" s="5" t="inlineStr">
        <is>
          <t>OQ-8</t>
        </is>
      </c>
      <c r="K14" s="8" t="inlineStr">
        <is>
          <t>Not run</t>
        </is>
      </c>
      <c r="L14" s="5" t="inlineStr"/>
      <c r="M14" s="5" t="inlineStr"/>
      <c r="N14" s="5" t="inlineStr"/>
    </row>
    <row r="15">
      <c r="A15" s="6" t="inlineStr">
        <is>
          <t>EREQ-2147-10</t>
        </is>
      </c>
      <c r="B15" s="6" t="inlineStr">
        <is>
          <t>Intake Processing</t>
        </is>
      </c>
      <c r="C15" s="6" t="inlineStr">
        <is>
          <t>Expedited request matched to the right claim and carrier</t>
        </is>
      </c>
      <c r="D15" s="6" t="inlineStr">
        <is>
          <t>C-1, Regression</t>
        </is>
      </c>
      <c r="E15" s="6" t="inlineStr">
        <is>
          <t>Standard setup (Test plan, entry criteria EC-1 to EC-5).</t>
        </is>
      </c>
      <c r="F15" s="6" t="inlineStr">
        <is>
          <t>R-A</t>
        </is>
      </c>
      <c r="G15" s="6" t="inlineStr">
        <is>
          <t>1. As U-03 open R-A in Intake Processing.
2. Check the matched carrier, claim number and request type.</t>
        </is>
      </c>
      <c r="H15" s="6" t="inlineStr">
        <is>
          <t>Carrier = Harborline Mutual (TEST), claim = HMT-900001, request type = Authorization. Same values as the control request R-B.</t>
        </is>
      </c>
      <c r="I15" s="9" t="inlineStr">
        <is>
          <t>S1</t>
        </is>
      </c>
      <c r="J15" s="6" t="inlineStr"/>
      <c r="K15" s="8" t="inlineStr">
        <is>
          <t>Not run</t>
        </is>
      </c>
      <c r="L15" s="6" t="inlineStr"/>
      <c r="M15" s="6" t="inlineStr"/>
      <c r="N15" s="6" t="inlineStr"/>
    </row>
    <row r="16">
      <c r="A16" s="5" t="inlineStr">
        <is>
          <t>EREQ-2147-11</t>
        </is>
      </c>
      <c r="B16" s="5" t="inlineStr">
        <is>
          <t>Intake Processing</t>
        </is>
      </c>
      <c r="C16" s="5" t="inlineStr">
        <is>
          <t>Associate enters an expedited request received by phone, fax or mail</t>
        </is>
      </c>
      <c r="D16" s="5" t="inlineStr">
        <is>
          <t>C-1, Gap</t>
        </is>
      </c>
      <c r="E16" s="5" t="inlineStr">
        <is>
          <t>Standard setup (Test plan, entry criteria EC-1 to EC-5).</t>
        </is>
      </c>
      <c r="F16" s="5" t="inlineStr">
        <is>
          <t>U-03; RQ-02; CL-01; F-01</t>
        </is>
      </c>
      <c r="G16" s="5" t="inlineStr">
        <is>
          <t>1. As U-03 create a request manually in Intake Processing for RQ-02 on CL-01, received Mon 2026-10-05 09:00 ET.
2. Look for an expedite option.</t>
        </is>
      </c>
      <c r="H16" s="5" t="inlineStr">
        <is>
          <t>If OQ-8 = associates can set expedite: option present; saved request shows Expedited = Yes, due 2026-10-07 (Wed), invoice shows Expedite fee $35.00. If OQ-8 = portal only: no option; due 2026-10-12 (Mon).</t>
        </is>
      </c>
      <c r="I16" s="7" t="inlineStr">
        <is>
          <t>S2</t>
        </is>
      </c>
      <c r="J16" s="5" t="inlineStr">
        <is>
          <t>OQ-8</t>
        </is>
      </c>
      <c r="K16" s="8" t="inlineStr">
        <is>
          <t>Not run</t>
        </is>
      </c>
      <c r="L16" s="5" t="inlineStr"/>
      <c r="M16" s="5" t="inlineStr"/>
      <c r="N16" s="5" t="inlineStr"/>
    </row>
    <row r="17">
      <c r="A17" s="6" t="inlineStr">
        <is>
          <t>EREQ-2147-12</t>
        </is>
      </c>
      <c r="B17" s="6" t="inlineStr">
        <is>
          <t>Intake Processing</t>
        </is>
      </c>
      <c r="C17" s="6" t="inlineStr">
        <is>
          <t>Expedited request with a deficiency</t>
        </is>
      </c>
      <c r="D17" s="6" t="inlineStr">
        <is>
          <t>C-2, Gap</t>
        </is>
      </c>
      <c r="E17" s="6" t="inlineStr">
        <is>
          <t>Standard setup (Test plan, entry criteria EC-1 to EC-5).</t>
        </is>
      </c>
      <c r="F17" s="6" t="inlineStr">
        <is>
          <t>RQ-01; CL-01; authorization missing (no F-01)</t>
        </is>
      </c>
      <c r="G17" s="6" t="inlineStr">
        <is>
          <t>1. As RQ-01 submit an expedited request for CL-01 without an authorization on Mon 2026-10-05 09:00 ET.
2. As U-03 issue the deficiency notice.
3. As RQ-01 upload F-01 on Wed 2026-10-07 10:00 ET.
4. Check the due date after each step.</t>
        </is>
      </c>
      <c r="H17" s="6" t="inlineStr">
        <is>
          <t>Deficiency notice is sent as today (regression). If OQ-6 = clock starts when complete: due 2026-10-09 (Fri). If OQ-6 = clock keeps running: due 2026-10-07 (Wed). If OQ-6 = paused: due date shown as paused, then recalculated when F-01 arrives (record values).</t>
        </is>
      </c>
      <c r="I17" s="7" t="inlineStr">
        <is>
          <t>S2</t>
        </is>
      </c>
      <c r="J17" s="6" t="inlineStr">
        <is>
          <t>OQ-6</t>
        </is>
      </c>
      <c r="K17" s="8" t="inlineStr">
        <is>
          <t>Not run</t>
        </is>
      </c>
      <c r="L17" s="6" t="inlineStr"/>
      <c r="M17" s="6" t="inlineStr"/>
      <c r="N17" s="6" t="inlineStr"/>
    </row>
    <row r="18">
      <c r="A18" s="5" t="inlineStr">
        <is>
          <t>EREQ-2147-13</t>
        </is>
      </c>
      <c r="B18" s="5" t="inlineStr">
        <is>
          <t>Intake Processing</t>
        </is>
      </c>
      <c r="C18" s="5" t="inlineStr">
        <is>
          <t>Subpoena return date still captured on an expedited subpoena</t>
        </is>
      </c>
      <c r="D18" s="5" t="inlineStr">
        <is>
          <t>C-2, Regression, Contract</t>
        </is>
      </c>
      <c r="E18" s="5" t="inlineStr">
        <is>
          <t>Standard setup (Test plan, entry criteria EC-1 to EC-5). Received time set by submitting at that time or by the test-env clock override (EC-5).</t>
        </is>
      </c>
      <c r="F18" s="5" t="inlineStr">
        <is>
          <t>R-N: RQ-01, CL-02, F-04, Expedite=Yes, received Mon 2026-10-05 09:00 ET</t>
        </is>
      </c>
      <c r="G18" s="5" t="inlineStr">
        <is>
          <t>1. As RQ-01 submit R-N (Harborline subpoena F-04, expedite checked).
2. As U-03 open it in Intake Processing.</t>
        </is>
      </c>
      <c r="H18" s="5" t="inlineStr">
        <is>
          <t>Request type = Subpoena. Return date field = 2026-10-20. Due date = 2026-10-07 (Wed) (2-day expedite is earlier than both the 3-day subpoena clock 2026-10-08 (Thu) and the return date, so no open question applies).</t>
        </is>
      </c>
      <c r="I18" s="9" t="inlineStr">
        <is>
          <t>S1</t>
        </is>
      </c>
      <c r="J18" s="5" t="inlineStr"/>
      <c r="K18" s="8" t="inlineStr">
        <is>
          <t>Not run</t>
        </is>
      </c>
      <c r="L18" s="5" t="inlineStr"/>
      <c r="M18" s="5" t="inlineStr"/>
      <c r="N18" s="5" t="inlineStr"/>
    </row>
    <row r="19">
      <c r="A19" s="6" t="inlineStr">
        <is>
          <t>EREQ-2147-14</t>
        </is>
      </c>
      <c r="B19" s="6" t="inlineStr">
        <is>
          <t>Queue &amp; Assignment</t>
        </is>
      </c>
      <c r="C19" s="6" t="inlineStr">
        <is>
          <t>Expedited due date, weekday morning</t>
        </is>
      </c>
      <c r="D19" s="6" t="inlineStr">
        <is>
          <t>AC-4, C-2</t>
        </is>
      </c>
      <c r="E19" s="6" t="inlineStr">
        <is>
          <t>Standard setup (Test plan, entry criteria EC-1 to EC-5). Received time set by submitting at that time or by the test-env clock override (EC-5).</t>
        </is>
      </c>
      <c r="F19" s="6" t="inlineStr">
        <is>
          <t>R-A: RQ-01, CL-01, F-01, Expedite=Yes, received Mon 2026-10-05 09:00 ET</t>
        </is>
      </c>
      <c r="G19" s="6" t="inlineStr">
        <is>
          <t>1. Open R-A in the review queue as U-01.
2. Read the due date.</t>
        </is>
      </c>
      <c r="H19" s="6" t="inlineStr">
        <is>
          <t>Due date = 2026-10-07 (Wed). The control R-B shows 2026-10-12 (Mon).</t>
        </is>
      </c>
      <c r="I19" s="9" t="inlineStr">
        <is>
          <t>S1</t>
        </is>
      </c>
      <c r="J19" s="6" t="inlineStr"/>
      <c r="K19" s="8" t="inlineStr">
        <is>
          <t>Not run</t>
        </is>
      </c>
      <c r="L19" s="6" t="inlineStr"/>
      <c r="M19" s="6" t="inlineStr"/>
      <c r="N19" s="6" t="inlineStr"/>
    </row>
    <row r="20">
      <c r="A20" s="5" t="inlineStr">
        <is>
          <t>EREQ-2147-15</t>
        </is>
      </c>
      <c r="B20" s="5" t="inlineStr">
        <is>
          <t>Queue &amp; Assignment</t>
        </is>
      </c>
      <c r="C20" s="5" t="inlineStr">
        <is>
          <t>Received exactly at the 5:00 pm cutoff</t>
        </is>
      </c>
      <c r="D20" s="5" t="inlineStr">
        <is>
          <t>C-2, Gap</t>
        </is>
      </c>
      <c r="E20" s="5" t="inlineStr">
        <is>
          <t>Standard setup (Test plan, entry criteria EC-1 to EC-5). Received time set by submitting at that time or by the test-env clock override (EC-5).</t>
        </is>
      </c>
      <c r="F20" s="5" t="inlineStr">
        <is>
          <t>R-C: RQ-02, CL-01, F-01, Expedite=Yes, received Mon 2026-10-05 17:00 ET</t>
        </is>
      </c>
      <c r="G20" s="5" t="inlineStr">
        <is>
          <t>1. Submit R-C at exactly 17:00:00 ET.
2. Open it in the queue and read the due date.</t>
        </is>
      </c>
      <c r="H20" s="5" t="inlineStr">
        <is>
          <t>Due date = 2026-10-07 (Wed) (17:00 counts as the same day; the rule says AFTER 5:00 pm rolls over).</t>
        </is>
      </c>
      <c r="I20" s="9" t="inlineStr">
        <is>
          <t>S1</t>
        </is>
      </c>
      <c r="J20" s="5" t="inlineStr"/>
      <c r="K20" s="8" t="inlineStr">
        <is>
          <t>Not run</t>
        </is>
      </c>
      <c r="L20" s="5" t="inlineStr"/>
      <c r="M20" s="5" t="inlineStr"/>
      <c r="N20" s="5" t="inlineStr"/>
    </row>
    <row r="21">
      <c r="A21" s="6" t="inlineStr">
        <is>
          <t>EREQ-2147-16</t>
        </is>
      </c>
      <c r="B21" s="6" t="inlineStr">
        <is>
          <t>Queue &amp; Assignment</t>
        </is>
      </c>
      <c r="C21" s="6" t="inlineStr">
        <is>
          <t>Received one minute after cutoff</t>
        </is>
      </c>
      <c r="D21" s="6" t="inlineStr">
        <is>
          <t>C-2, Gap</t>
        </is>
      </c>
      <c r="E21" s="6" t="inlineStr">
        <is>
          <t>Standard setup (Test plan, entry criteria EC-1 to EC-5). Received time set by submitting at that time or by the test-env clock override (EC-5).</t>
        </is>
      </c>
      <c r="F21" s="6" t="inlineStr">
        <is>
          <t>R-D: RQ-02, CL-01, F-01, Expedite=Yes, received Mon 2026-10-05 17:01 ET</t>
        </is>
      </c>
      <c r="G21" s="6" t="inlineStr">
        <is>
          <t>1. Submit R-D at 17:01 ET.
2. Read the due date in the queue.</t>
        </is>
      </c>
      <c r="H21" s="6" t="inlineStr">
        <is>
          <t>Day 0 = 2026-10-06. Due date = 2026-10-08 (Thu).</t>
        </is>
      </c>
      <c r="I21" s="9" t="inlineStr">
        <is>
          <t>S1</t>
        </is>
      </c>
      <c r="J21" s="6" t="inlineStr"/>
      <c r="K21" s="8" t="inlineStr">
        <is>
          <t>Not run</t>
        </is>
      </c>
      <c r="L21" s="6" t="inlineStr"/>
      <c r="M21" s="6" t="inlineStr"/>
      <c r="N21" s="6" t="inlineStr"/>
    </row>
    <row r="22">
      <c r="A22" s="5" t="inlineStr">
        <is>
          <t>EREQ-2147-17</t>
        </is>
      </c>
      <c r="B22" s="5" t="inlineStr">
        <is>
          <t>Queue &amp; Assignment</t>
        </is>
      </c>
      <c r="C22" s="5" t="inlineStr">
        <is>
          <t>Requestor in Pacific time submits at 3:00 pm local</t>
        </is>
      </c>
      <c r="D22" s="5" t="inlineStr">
        <is>
          <t>C-2, Gap</t>
        </is>
      </c>
      <c r="E22" s="5" t="inlineStr">
        <is>
          <t>Standard setup (Test plan, entry criteria EC-1 to EC-5). RQ-05 portal profile time zone = Pacific.</t>
        </is>
      </c>
      <c r="F22" s="5" t="inlineStr">
        <is>
          <t>R-E: RQ-05, CL-01, F-01, Expedite=Yes, received Mon 2026-10-05 18:00 ET</t>
        </is>
      </c>
      <c r="G22" s="5" t="inlineStr">
        <is>
          <t>1. As RQ-05 submit R-E at 15:00 Pacific (18:00 ET).
2. Read the due date in the queue and in the portal.</t>
        </is>
      </c>
      <c r="H22" s="5" t="inlineStr">
        <is>
          <t>Due date = 2026-10-08 (Thu) in both places (the cutoff is 5:00 pm Eastern, so this counts as received the next business day).</t>
        </is>
      </c>
      <c r="I22" s="9" t="inlineStr">
        <is>
          <t>S1</t>
        </is>
      </c>
      <c r="J22" s="5" t="inlineStr"/>
      <c r="K22" s="8" t="inlineStr">
        <is>
          <t>Not run</t>
        </is>
      </c>
      <c r="L22" s="5" t="inlineStr"/>
      <c r="M22" s="5" t="inlineStr"/>
      <c r="N22" s="5" t="inlineStr"/>
    </row>
    <row r="23">
      <c r="A23" s="6" t="inlineStr">
        <is>
          <t>EREQ-2147-18</t>
        </is>
      </c>
      <c r="B23" s="6" t="inlineStr">
        <is>
          <t>Queue &amp; Assignment</t>
        </is>
      </c>
      <c r="C23" s="6" t="inlineStr">
        <is>
          <t>Clock crosses a weekend and Columbus Day</t>
        </is>
      </c>
      <c r="D23" s="6" t="inlineStr">
        <is>
          <t>C-2, Gap</t>
        </is>
      </c>
      <c r="E23" s="6" t="inlineStr">
        <is>
          <t>Standard setup (Test plan, entry criteria EC-1 to EC-5). Received time set by submitting at that time or by the test-env clock override (EC-5).</t>
        </is>
      </c>
      <c r="F23" s="6" t="inlineStr">
        <is>
          <t>R-F: RQ-01, CL-01, F-01, Expedite=Yes, received Thu 2026-10-08 10:00 ET</t>
        </is>
      </c>
      <c r="G23" s="6" t="inlineStr">
        <is>
          <t>1. Submit R-F Thu 2026-10-08 10:00 ET.
2. Read the due date.</t>
        </is>
      </c>
      <c r="H23" s="6" t="inlineStr">
        <is>
          <t>If OQ-12 = SAMPLE calendar (Columbus Day is a business day): 2026-10-12 (Mon). If OQ-12 = Columbus Day observed: 2026-10-13 (Tue).</t>
        </is>
      </c>
      <c r="I23" s="9" t="inlineStr">
        <is>
          <t>S1</t>
        </is>
      </c>
      <c r="J23" s="6" t="inlineStr">
        <is>
          <t>OQ-12</t>
        </is>
      </c>
      <c r="K23" s="8" t="inlineStr">
        <is>
          <t>Not run</t>
        </is>
      </c>
      <c r="L23" s="6" t="inlineStr"/>
      <c r="M23" s="6" t="inlineStr"/>
      <c r="N23" s="6" t="inlineStr"/>
    </row>
    <row r="24">
      <c r="A24" s="5" t="inlineStr">
        <is>
          <t>EREQ-2147-19</t>
        </is>
      </c>
      <c r="B24" s="5" t="inlineStr">
        <is>
          <t>Queue &amp; Assignment</t>
        </is>
      </c>
      <c r="C24" s="5" t="inlineStr">
        <is>
          <t>Friday before cutoff</t>
        </is>
      </c>
      <c r="D24" s="5" t="inlineStr">
        <is>
          <t>C-2, Gap</t>
        </is>
      </c>
      <c r="E24" s="5" t="inlineStr">
        <is>
          <t>Standard setup (Test plan, entry criteria EC-1 to EC-5). Received time set by submitting at that time or by the test-env clock override (EC-5).</t>
        </is>
      </c>
      <c r="F24" s="5" t="inlineStr">
        <is>
          <t>R-G: RQ-01, CL-01, F-01, Expedite=Yes, received Fri 2026-10-09 16:59 ET</t>
        </is>
      </c>
      <c r="G24" s="5" t="inlineStr">
        <is>
          <t>1. Submit R-G Fri 2026-10-09 16:59 ET.
2. Read the due date.</t>
        </is>
      </c>
      <c r="H24" s="5" t="inlineStr">
        <is>
          <t>Due date = 2026-10-13 (Tue).</t>
        </is>
      </c>
      <c r="I24" s="9" t="inlineStr">
        <is>
          <t>S1</t>
        </is>
      </c>
      <c r="J24" s="5" t="inlineStr"/>
      <c r="K24" s="8" t="inlineStr">
        <is>
          <t>Not run</t>
        </is>
      </c>
      <c r="L24" s="5" t="inlineStr"/>
      <c r="M24" s="5" t="inlineStr"/>
      <c r="N24" s="5" t="inlineStr"/>
    </row>
    <row r="25">
      <c r="A25" s="6" t="inlineStr">
        <is>
          <t>EREQ-2147-20</t>
        </is>
      </c>
      <c r="B25" s="6" t="inlineStr">
        <is>
          <t>Queue &amp; Assignment</t>
        </is>
      </c>
      <c r="C25" s="6" t="inlineStr">
        <is>
          <t>Friday after cutoff</t>
        </is>
      </c>
      <c r="D25" s="6" t="inlineStr">
        <is>
          <t>C-2, Gap</t>
        </is>
      </c>
      <c r="E25" s="6" t="inlineStr">
        <is>
          <t>Standard setup (Test plan, entry criteria EC-1 to EC-5). Received time set by submitting at that time or by the test-env clock override (EC-5).</t>
        </is>
      </c>
      <c r="F25" s="6" t="inlineStr">
        <is>
          <t>R-H: RQ-01, CL-01, F-01, Expedite=Yes, received Fri 2026-10-09 17:30 ET</t>
        </is>
      </c>
      <c r="G25" s="6" t="inlineStr">
        <is>
          <t>1. Submit R-H Fri 2026-10-09 17:30 ET.
2. Read the due date.</t>
        </is>
      </c>
      <c r="H25" s="6" t="inlineStr">
        <is>
          <t>Day 0 = Mon 2026-10-12. Due date = 2026-10-14 (Wed).</t>
        </is>
      </c>
      <c r="I25" s="9" t="inlineStr">
        <is>
          <t>S1</t>
        </is>
      </c>
      <c r="J25" s="6" t="inlineStr"/>
      <c r="K25" s="8" t="inlineStr">
        <is>
          <t>Not run</t>
        </is>
      </c>
      <c r="L25" s="6" t="inlineStr"/>
      <c r="M25" s="6" t="inlineStr"/>
      <c r="N25" s="6" t="inlineStr"/>
    </row>
    <row r="26">
      <c r="A26" s="5" t="inlineStr">
        <is>
          <t>EREQ-2147-21</t>
        </is>
      </c>
      <c r="B26" s="5" t="inlineStr">
        <is>
          <t>Queue &amp; Assignment</t>
        </is>
      </c>
      <c r="C26" s="5" t="inlineStr">
        <is>
          <t>Received on a Saturday</t>
        </is>
      </c>
      <c r="D26" s="5" t="inlineStr">
        <is>
          <t>C-2, Gap</t>
        </is>
      </c>
      <c r="E26" s="5" t="inlineStr">
        <is>
          <t>Standard setup (Test plan, entry criteria EC-1 to EC-5). Received time set by submitting at that time or by the test-env clock override (EC-5).</t>
        </is>
      </c>
      <c r="F26" s="5" t="inlineStr">
        <is>
          <t>R-I: RQ-01, CL-01, F-01, Expedite=Yes, received Sat 2026-10-10 11:00 ET</t>
        </is>
      </c>
      <c r="G26" s="5" t="inlineStr">
        <is>
          <t>1. Submit R-I Sat 2026-10-10 11:00 ET.
2. Read the due date.</t>
        </is>
      </c>
      <c r="H26" s="5" t="inlineStr">
        <is>
          <t>Day 0 = Mon 2026-10-12. Due date = 2026-10-14 (Wed).</t>
        </is>
      </c>
      <c r="I26" s="9" t="inlineStr">
        <is>
          <t>S1</t>
        </is>
      </c>
      <c r="J26" s="5" t="inlineStr"/>
      <c r="K26" s="8" t="inlineStr">
        <is>
          <t>Not run</t>
        </is>
      </c>
      <c r="L26" s="5" t="inlineStr"/>
      <c r="M26" s="5" t="inlineStr"/>
      <c r="N26" s="5" t="inlineStr"/>
    </row>
    <row r="27">
      <c r="A27" s="6" t="inlineStr">
        <is>
          <t>EREQ-2147-22</t>
        </is>
      </c>
      <c r="B27" s="6" t="inlineStr">
        <is>
          <t>Queue &amp; Assignment</t>
        </is>
      </c>
      <c r="C27" s="6" t="inlineStr">
        <is>
          <t>Day before Thanksgiving, before cutoff</t>
        </is>
      </c>
      <c r="D27" s="6" t="inlineStr">
        <is>
          <t>C-2, Gap</t>
        </is>
      </c>
      <c r="E27" s="6" t="inlineStr">
        <is>
          <t>Standard setup (Test plan, entry criteria EC-1 to EC-5). Clock override required (EC-5).</t>
        </is>
      </c>
      <c r="F27" s="6" t="inlineStr">
        <is>
          <t>R-J: RQ-01, CL-01, F-01, Expedite=Yes, received Wed 2026-11-25 16:00 ET</t>
        </is>
      </c>
      <c r="G27" s="6" t="inlineStr">
        <is>
          <t>1. Set the test-env clock to Wed 2026-11-25 16:00 ET.
2. Submit R-J.
3. Read the due date.</t>
        </is>
      </c>
      <c r="H27" s="6" t="inlineStr">
        <is>
          <t>Due date = 2026-12-01 (Tue) (skips 2026-11-26, 11-27 and the weekend).</t>
        </is>
      </c>
      <c r="I27" s="9" t="inlineStr">
        <is>
          <t>S1</t>
        </is>
      </c>
      <c r="J27" s="6" t="inlineStr"/>
      <c r="K27" s="8" t="inlineStr">
        <is>
          <t>Not run</t>
        </is>
      </c>
      <c r="L27" s="6" t="inlineStr"/>
      <c r="M27" s="6" t="inlineStr"/>
      <c r="N27" s="6" t="inlineStr"/>
    </row>
    <row r="28">
      <c r="A28" s="5" t="inlineStr">
        <is>
          <t>EREQ-2147-23</t>
        </is>
      </c>
      <c r="B28" s="5" t="inlineStr">
        <is>
          <t>Queue &amp; Assignment</t>
        </is>
      </c>
      <c r="C28" s="5" t="inlineStr">
        <is>
          <t>Day before Thanksgiving, after cutoff</t>
        </is>
      </c>
      <c r="D28" s="5" t="inlineStr">
        <is>
          <t>C-2, Gap</t>
        </is>
      </c>
      <c r="E28" s="5" t="inlineStr">
        <is>
          <t>Standard setup (Test plan, entry criteria EC-1 to EC-5). Clock override required (EC-5).</t>
        </is>
      </c>
      <c r="F28" s="5" t="inlineStr">
        <is>
          <t>R-K: RQ-01, CL-01, F-01, Expedite=Yes, received Wed 2026-11-25 17:30 ET</t>
        </is>
      </c>
      <c r="G28" s="5" t="inlineStr">
        <is>
          <t>1. Set the test-env clock to Wed 2026-11-25 17:30 ET.
2. Submit R-K.
3. Read the due date.</t>
        </is>
      </c>
      <c r="H28" s="5" t="inlineStr">
        <is>
          <t>Day 0 = Mon 2026-11-30. Due date = 2026-12-02 (Wed).</t>
        </is>
      </c>
      <c r="I28" s="9" t="inlineStr">
        <is>
          <t>S1</t>
        </is>
      </c>
      <c r="J28" s="5" t="inlineStr"/>
      <c r="K28" s="8" t="inlineStr">
        <is>
          <t>Not run</t>
        </is>
      </c>
      <c r="L28" s="5" t="inlineStr"/>
      <c r="M28" s="5" t="inlineStr"/>
      <c r="N28" s="5" t="inlineStr"/>
    </row>
    <row r="29">
      <c r="A29" s="6" t="inlineStr">
        <is>
          <t>EREQ-2147-24</t>
        </is>
      </c>
      <c r="B29" s="6" t="inlineStr">
        <is>
          <t>Queue &amp; Assignment</t>
        </is>
      </c>
      <c r="C29" s="6" t="inlineStr">
        <is>
          <t>Christmas Eve</t>
        </is>
      </c>
      <c r="D29" s="6" t="inlineStr">
        <is>
          <t>C-2, Gap</t>
        </is>
      </c>
      <c r="E29" s="6" t="inlineStr">
        <is>
          <t>Standard setup (Test plan, entry criteria EC-1 to EC-5). Clock override required (EC-5).</t>
        </is>
      </c>
      <c r="F29" s="6" t="inlineStr">
        <is>
          <t>R-L: RQ-01, CL-01, F-01, Expedite=Yes, received Thu 2026-12-24 10:00 ET</t>
        </is>
      </c>
      <c r="G29" s="6" t="inlineStr">
        <is>
          <t>1. Set the test-env clock to Thu 2026-12-24 10:00 ET.
2. Submit R-L.
3. Read the due date.</t>
        </is>
      </c>
      <c r="H29" s="6" t="inlineStr">
        <is>
          <t>If OQ-12 = SAMPLE calendar (Dec 24 is a business day): 2026-12-29 (Tue). If OQ-12 = Dec 24 observed: 2026-12-30 (Wed).</t>
        </is>
      </c>
      <c r="I29" s="9" t="inlineStr">
        <is>
          <t>S1</t>
        </is>
      </c>
      <c r="J29" s="6" t="inlineStr">
        <is>
          <t>OQ-12</t>
        </is>
      </c>
      <c r="K29" s="8" t="inlineStr">
        <is>
          <t>Not run</t>
        </is>
      </c>
      <c r="L29" s="6" t="inlineStr"/>
      <c r="M29" s="6" t="inlineStr"/>
      <c r="N29" s="6" t="inlineStr"/>
    </row>
    <row r="30">
      <c r="A30" s="5" t="inlineStr">
        <is>
          <t>EREQ-2147-25</t>
        </is>
      </c>
      <c r="B30" s="5" t="inlineStr">
        <is>
          <t>Queue &amp; Assignment</t>
        </is>
      </c>
      <c r="C30" s="5" t="inlineStr">
        <is>
          <t>Expedited Harborline subpoena with a return date earlier than 2 business days</t>
        </is>
      </c>
      <c r="D30" s="5" t="inlineStr">
        <is>
          <t>C-2, Gap, Contract</t>
        </is>
      </c>
      <c r="E30" s="5" t="inlineStr">
        <is>
          <t>Standard setup (Test plan, entry criteria EC-1 to EC-5). Received time set by submitting at that time or by the test-env clock override (EC-5).</t>
        </is>
      </c>
      <c r="F30" s="5" t="inlineStr">
        <is>
          <t>R-M: RQ-01, CL-02, F-03, Expedite=Yes, received Mon 2026-10-05 09:00 ET</t>
        </is>
      </c>
      <c r="G30" s="5" t="inlineStr">
        <is>
          <t>1. Submit R-M (return date Tue 2026-10-06, expedite checked) Mon 2026-10-05 09:00 ET.
2. Read the due date in the queue.
3. Submit the same subpoena WITHOUT expedite and read its due date.</t>
        </is>
      </c>
      <c r="H30" s="5" t="inlineStr">
        <is>
          <t>Not expedited: due 2026-10-06 (return date is earlier than 3 business days, 2026-10-08 (Thu)). Expedited: if OQ-1 = earlier date wins: due 2026-10-06. If OQ-1 = expedite replaces the clock (ticket as written): due 2026-10-07 (Wed); log a contract conflict against Harborline Amendment 2 Sec. 2.2 for CX to decide.</t>
        </is>
      </c>
      <c r="I30" s="9" t="inlineStr">
        <is>
          <t>S1</t>
        </is>
      </c>
      <c r="J30" s="5" t="inlineStr">
        <is>
          <t>OQ-1</t>
        </is>
      </c>
      <c r="K30" s="8" t="inlineStr">
        <is>
          <t>Not run</t>
        </is>
      </c>
      <c r="L30" s="5" t="inlineStr"/>
      <c r="M30" s="5" t="inlineStr"/>
      <c r="N30" s="5" t="inlineStr"/>
    </row>
    <row r="31">
      <c r="A31" s="6" t="inlineStr">
        <is>
          <t>EREQ-2147-26</t>
        </is>
      </c>
      <c r="B31" s="6" t="inlineStr">
        <is>
          <t>Queue &amp; Assignment</t>
        </is>
      </c>
      <c r="C31" s="6" t="inlineStr">
        <is>
          <t>Tri-County court order, expedited</t>
        </is>
      </c>
      <c r="D31" s="6" t="inlineStr">
        <is>
          <t>C-2, Gap, Contract</t>
        </is>
      </c>
      <c r="E31" s="6" t="inlineStr">
        <is>
          <t>Standard setup (Test plan, entry criteria EC-1 to EC-5). Received time set by submitting at that time or by the test-env clock override (EC-5). Record the court-order clock currently configured for Tri-County (U-02, Admin).</t>
        </is>
      </c>
      <c r="F31" s="6" t="inlineStr">
        <is>
          <t>R-S: RQ-01, CL-03, F-05, Expedite=Yes, received Mon 2026-10-05 09:00 ET</t>
        </is>
      </c>
      <c r="G31" s="6" t="inlineStr">
        <is>
          <t>1. Note the configured Tri-County court-order clock.
2. Submit R-S Mon 2026-10-05 09:00 ET.
3. Read the due date.</t>
        </is>
      </c>
      <c r="H31" s="6" t="inlineStr">
        <is>
          <t>If OQ-1 = earlier date wins: due = the earlier of 2026-10-07 (Wed) and the court-order due date (run business_days.py due with the configured clock). If OQ-1 = expedite replaces the clock: due 2026-10-07 (Wed).</t>
        </is>
      </c>
      <c r="I31" s="9" t="inlineStr">
        <is>
          <t>S1</t>
        </is>
      </c>
      <c r="J31" s="6" t="inlineStr">
        <is>
          <t>OQ-1</t>
        </is>
      </c>
      <c r="K31" s="8" t="inlineStr">
        <is>
          <t>Not run</t>
        </is>
      </c>
      <c r="L31" s="6" t="inlineStr"/>
      <c r="M31" s="6" t="inlineStr"/>
      <c r="N31" s="6" t="inlineStr"/>
    </row>
    <row r="32">
      <c r="A32" s="5" t="inlineStr">
        <is>
          <t>EREQ-2147-27</t>
        </is>
      </c>
      <c r="B32" s="5" t="inlineStr">
        <is>
          <t>Queue &amp; Assignment</t>
        </is>
      </c>
      <c r="C32" s="5" t="inlineStr">
        <is>
          <t>Non-expedited Harborline requests keep the amended contract clocks</t>
        </is>
      </c>
      <c r="D32" s="5" t="inlineStr">
        <is>
          <t>Regression, Contract</t>
        </is>
      </c>
      <c r="E32" s="5" t="inlineStr">
        <is>
          <t>Standard setup (Test plan, entry criteria EC-1 to EC-5). Received time set by submitting at that time or by the test-env clock override (EC-5).</t>
        </is>
      </c>
      <c r="F32" s="5" t="inlineStr">
        <is>
          <t>R-B: RQ-01, CL-01, F-01, Expedite=No, received Mon 2026-10-05 09:00 ET; R-O: RQ-01, CL-02, F-04, Expedite=No, received Mon 2026-10-05 09:00 ET</t>
        </is>
      </c>
      <c r="G32" s="5" t="inlineStr">
        <is>
          <t>1. Open R-B and R-O in the queue.
2. Read both due dates.</t>
        </is>
      </c>
      <c r="H32" s="5" t="inlineStr">
        <is>
          <t>R-B due 2026-10-12 (Mon) (5 business days, Amendment 2 Sec. 2.1; NOT 2026-10-14 (Wed) from the superseded 2023 MSA). R-O due 2026-10-08 (Thu) (3 business days, Amendment 2 Sec. 2.2).</t>
        </is>
      </c>
      <c r="I32" s="9" t="inlineStr">
        <is>
          <t>S1</t>
        </is>
      </c>
      <c r="J32" s="5" t="inlineStr"/>
      <c r="K32" s="8" t="inlineStr">
        <is>
          <t>Not run</t>
        </is>
      </c>
      <c r="L32" s="5" t="inlineStr"/>
      <c r="M32" s="5" t="inlineStr"/>
      <c r="N32" s="5" t="inlineStr"/>
    </row>
    <row r="33">
      <c r="A33" s="6" t="inlineStr">
        <is>
          <t>EREQ-2147-28</t>
        </is>
      </c>
      <c r="B33" s="6" t="inlineStr">
        <is>
          <t>Queue &amp; Assignment</t>
        </is>
      </c>
      <c r="C33" s="6" t="inlineStr">
        <is>
          <t>Tri-County: expedited vs contracted clock</t>
        </is>
      </c>
      <c r="D33" s="6" t="inlineStr">
        <is>
          <t>C-2, Regression, Contract</t>
        </is>
      </c>
      <c r="E33" s="6" t="inlineStr">
        <is>
          <t>Standard setup (Test plan, entry criteria EC-1 to EC-5). Received time set by submitting at that time or by the test-env clock override (EC-5).</t>
        </is>
      </c>
      <c r="F33" s="6" t="inlineStr">
        <is>
          <t>R-P: RQ-01, CL-03, F-06, Expedite=Yes, received Mon 2026-10-05 09:00 ET; R-Q: RQ-01, CL-04, F-06, Expedite=No, received Mon 2026-10-05 09:00 ET</t>
        </is>
      </c>
      <c r="G33" s="6" t="inlineStr">
        <is>
          <t>1. Open R-P and R-Q in the queue.
2. Read both due dates.</t>
        </is>
      </c>
      <c r="H33" s="6" t="inlineStr">
        <is>
          <t>R-P (expedited) due 2026-10-07 (Wed). R-Q (not expedited) due 2026-10-19 (Mon) (10 business days, Sec. 2.1).</t>
        </is>
      </c>
      <c r="I33" s="9" t="inlineStr">
        <is>
          <t>S1</t>
        </is>
      </c>
      <c r="J33" s="6" t="inlineStr"/>
      <c r="K33" s="8" t="inlineStr">
        <is>
          <t>Not run</t>
        </is>
      </c>
      <c r="L33" s="6" t="inlineStr"/>
      <c r="M33" s="6" t="inlineStr"/>
      <c r="N33" s="6" t="inlineStr"/>
    </row>
    <row r="34">
      <c r="A34" s="5" t="inlineStr">
        <is>
          <t>EREQ-2147-29</t>
        </is>
      </c>
      <c r="B34" s="5" t="inlineStr">
        <is>
          <t>Queue &amp; Assignment</t>
        </is>
      </c>
      <c r="C34" s="5" t="inlineStr">
        <is>
          <t>Expedited requests sort above non-expedited requests</t>
        </is>
      </c>
      <c r="D34" s="5" t="inlineStr">
        <is>
          <t>AC-2, C-3</t>
        </is>
      </c>
      <c r="E34" s="5" t="inlineStr">
        <is>
          <t>Standard setup (Test plan, entry criteria EC-1 to EC-5). R-A, R-B, R-O, R-Q and at least 3 other non-expedited requests in the same reviewer queue.</t>
        </is>
      </c>
      <c r="F34" s="5" t="inlineStr">
        <is>
          <t>R-A, R-B, R-O, R-Q</t>
        </is>
      </c>
      <c r="G34" s="5" t="inlineStr">
        <is>
          <t>1. Log in as U-01 and open the review queue with the default sort.
2. Note the position of each test request.</t>
        </is>
      </c>
      <c r="H34" s="5" t="inlineStr">
        <is>
          <t>Every expedited request (R-A) is listed above every non-expedited request (R-B, R-O, R-Q and the others).</t>
        </is>
      </c>
      <c r="I34" s="7" t="inlineStr">
        <is>
          <t>S2</t>
        </is>
      </c>
      <c r="J34" s="5" t="inlineStr"/>
      <c r="K34" s="8" t="inlineStr">
        <is>
          <t>Not run</t>
        </is>
      </c>
      <c r="L34" s="5" t="inlineStr"/>
      <c r="M34" s="5" t="inlineStr"/>
      <c r="N34" s="5" t="inlineStr"/>
    </row>
    <row r="35">
      <c r="A35" s="6" t="inlineStr">
        <is>
          <t>EREQ-2147-30</t>
        </is>
      </c>
      <c r="B35" s="6" t="inlineStr">
        <is>
          <t>Queue &amp; Assignment</t>
        </is>
      </c>
      <c r="C35" s="6" t="inlineStr">
        <is>
          <t>EXPEDITE badge shows on expedited requests only</t>
        </is>
      </c>
      <c r="D35" s="6" t="inlineStr">
        <is>
          <t>AC-2, C-3</t>
        </is>
      </c>
      <c r="E35" s="6" t="inlineStr">
        <is>
          <t>Standard setup (Test plan, entry criteria EC-1 to EC-5).</t>
        </is>
      </c>
      <c r="F35" s="6" t="inlineStr">
        <is>
          <t>R-A, R-B</t>
        </is>
      </c>
      <c r="G35" s="6" t="inlineStr">
        <is>
          <t>1. As U-01 view the queue.
2. Open R-A, then R-B.</t>
        </is>
      </c>
      <c r="H35" s="6" t="inlineStr">
        <is>
          <t>R-A shows a red badge reading "EXPEDITE" in the queue row and on the request detail. R-B shows no badge in either place.</t>
        </is>
      </c>
      <c r="I35" s="7" t="inlineStr">
        <is>
          <t>S2</t>
        </is>
      </c>
      <c r="J35" s="6" t="inlineStr"/>
      <c r="K35" s="8" t="inlineStr">
        <is>
          <t>Not run</t>
        </is>
      </c>
      <c r="L35" s="6" t="inlineStr"/>
      <c r="M35" s="6" t="inlineStr"/>
      <c r="N35" s="6" t="inlineStr"/>
    </row>
    <row r="36">
      <c r="A36" s="5" t="inlineStr">
        <is>
          <t>EREQ-2147-31</t>
        </is>
      </c>
      <c r="B36" s="5" t="inlineStr">
        <is>
          <t>Queue &amp; Assignment</t>
        </is>
      </c>
      <c r="C36" s="5" t="inlineStr">
        <is>
          <t>Order among expedited requests, including due-date ties</t>
        </is>
      </c>
      <c r="D36" s="5" t="inlineStr">
        <is>
          <t>C-3, Gap</t>
        </is>
      </c>
      <c r="E36" s="5" t="inlineStr">
        <is>
          <t>Standard setup (Test plan, entry criteria EC-1 to EC-5). R-A, R-C, R-D, R-H and R-I in one queue.</t>
        </is>
      </c>
      <c r="F36" s="5" t="inlineStr">
        <is>
          <t>R-A, R-C (both due 2026-10-07), R-D (due 2026-10-08), R-H, R-I (both due 2026-10-14)</t>
        </is>
      </c>
      <c r="G36" s="5" t="inlineStr">
        <is>
          <t>1. As U-01 open the queue with default sort.
2. Note the order of the five requests.</t>
        </is>
      </c>
      <c r="H36" s="5" t="inlineStr">
        <is>
          <t>If OQ-9 = due date, ties broken by received time: R-A, R-C, R-D, R-H, R-I. If OQ-9 = another tiebreaker (e.g. request number or client): R-D is still third; record the order of each tied pair and the rule.</t>
        </is>
      </c>
      <c r="I36" s="7" t="inlineStr">
        <is>
          <t>S2</t>
        </is>
      </c>
      <c r="J36" s="5" t="inlineStr">
        <is>
          <t>OQ-9</t>
        </is>
      </c>
      <c r="K36" s="8" t="inlineStr">
        <is>
          <t>Not run</t>
        </is>
      </c>
      <c r="L36" s="5" t="inlineStr"/>
      <c r="M36" s="5" t="inlineStr"/>
      <c r="N36" s="5" t="inlineStr">
        <is>
          <t>With one 2-day clock, due-date order and received-time order agree; only the tiebreaker is open.</t>
        </is>
      </c>
    </row>
    <row r="37">
      <c r="A37" s="6" t="inlineStr">
        <is>
          <t>EREQ-2147-32</t>
        </is>
      </c>
      <c r="B37" s="6" t="inlineStr">
        <is>
          <t>Queue &amp; Assignment</t>
        </is>
      </c>
      <c r="C37" s="6" t="inlineStr">
        <is>
          <t>Expedited request vs non-expedited subpoena due sooner</t>
        </is>
      </c>
      <c r="D37" s="6" t="inlineStr">
        <is>
          <t>C-3, Gap, Contract</t>
        </is>
      </c>
      <c r="E37" s="6" t="inlineStr">
        <is>
          <t>Standard setup (Test plan, entry criteria EC-1 to EC-5). Non-expedited R-M variant (return date 2026-10-06, due 2026-10-06) and R-A (expedited, due 2026-10-07) in one queue.</t>
        </is>
      </c>
      <c r="F37" s="6" t="inlineStr">
        <is>
          <t>R-M (not expedited), R-A</t>
        </is>
      </c>
      <c r="G37" s="6" t="inlineStr">
        <is>
          <t>1. As U-01 open the queue.
2. Note which is higher.</t>
        </is>
      </c>
      <c r="H37" s="6" t="inlineStr">
        <is>
          <t>If OQ-9 = due date first: the subpoena due 2026-10-06 is above R-A. If OQ-9 = expedite always on top (ticket as written): R-A is above the subpoena; log a contract risk against Harborline Amendment 2 Sec. 2.2.</t>
        </is>
      </c>
      <c r="I37" s="9" t="inlineStr">
        <is>
          <t>S1</t>
        </is>
      </c>
      <c r="J37" s="6" t="inlineStr">
        <is>
          <t>OQ-9</t>
        </is>
      </c>
      <c r="K37" s="8" t="inlineStr">
        <is>
          <t>Not run</t>
        </is>
      </c>
      <c r="L37" s="6" t="inlineStr"/>
      <c r="M37" s="6" t="inlineStr"/>
      <c r="N37" s="6" t="inlineStr"/>
    </row>
    <row r="38">
      <c r="A38" s="5" t="inlineStr">
        <is>
          <t>EREQ-2147-33</t>
        </is>
      </c>
      <c r="B38" s="5" t="inlineStr">
        <is>
          <t>Queue &amp; Assignment</t>
        </is>
      </c>
      <c r="C38" s="5" t="inlineStr">
        <is>
          <t>Reassignment keeps badge, due date and position</t>
        </is>
      </c>
      <c r="D38" s="5" t="inlineStr">
        <is>
          <t>C-3, Regression</t>
        </is>
      </c>
      <c r="E38" s="5" t="inlineStr">
        <is>
          <t>Standard setup (Test plan, entry criteria EC-1 to EC-5).</t>
        </is>
      </c>
      <c r="F38" s="5" t="inlineStr">
        <is>
          <t>R-A; reviewers U-01 and U-04</t>
        </is>
      </c>
      <c r="G38" s="5" t="inlineStr">
        <is>
          <t>1. As a supervisor reassign R-A from U-01 to U-04.
2. Log in as U-04 and open the queue.</t>
        </is>
      </c>
      <c r="H38" s="5" t="inlineStr">
        <is>
          <t>R-A is in U-04's queue above non-expedited requests, shows the EXPEDITE badge, and the due date is still 2026-10-07 (Wed).</t>
        </is>
      </c>
      <c r="I38" s="7" t="inlineStr">
        <is>
          <t>S2</t>
        </is>
      </c>
      <c r="J38" s="5" t="inlineStr"/>
      <c r="K38" s="8" t="inlineStr">
        <is>
          <t>Not run</t>
        </is>
      </c>
      <c r="L38" s="5" t="inlineStr"/>
      <c r="M38" s="5" t="inlineStr"/>
      <c r="N38" s="5" t="inlineStr"/>
    </row>
    <row r="39">
      <c r="A39" s="6" t="inlineStr">
        <is>
          <t>EREQ-2147-34</t>
        </is>
      </c>
      <c r="B39" s="6" t="inlineStr">
        <is>
          <t>Queue &amp; Assignment</t>
        </is>
      </c>
      <c r="C39" s="6" t="inlineStr">
        <is>
          <t>Non-expedited requests keep their existing order</t>
        </is>
      </c>
      <c r="D39" s="6" t="inlineStr">
        <is>
          <t>C-3, Regression</t>
        </is>
      </c>
      <c r="E39" s="6" t="inlineStr">
        <is>
          <t>Standard setup (Test plan, entry criteria EC-1 to EC-5). Before any expedited request exists, screenshot U-01's queue with R-B, R-O, R-Q and 3 other non-expedited requests (baseline).</t>
        </is>
      </c>
      <c r="F39" s="6" t="inlineStr">
        <is>
          <t>R-B, R-O, R-Q; R-A added after the baseline</t>
        </is>
      </c>
      <c r="G39" s="6" t="inlineStr">
        <is>
          <t>1. Take the baseline screenshot.
2. Submit R-A (expedited).
3. As U-01 reopen the queue with the default sort.</t>
        </is>
      </c>
      <c r="H39" s="6" t="inlineStr">
        <is>
          <t>R-A is on top. Below it, the non-expedited requests are in exactly the baseline order (compare row by row with the screenshot; attach both to Notes).</t>
        </is>
      </c>
      <c r="I39" s="7" t="inlineStr">
        <is>
          <t>S2</t>
        </is>
      </c>
      <c r="J39" s="6" t="inlineStr"/>
      <c r="K39" s="8" t="inlineStr">
        <is>
          <t>Not run</t>
        </is>
      </c>
      <c r="L39" s="6" t="inlineStr"/>
      <c r="M39" s="6" t="inlineStr"/>
      <c r="N39" s="6" t="inlineStr"/>
    </row>
    <row r="40">
      <c r="A40" s="5" t="inlineStr">
        <is>
          <t>EREQ-2147-35</t>
        </is>
      </c>
      <c r="B40" s="5" t="inlineStr">
        <is>
          <t>Queue &amp; Assignment</t>
        </is>
      </c>
      <c r="C40" s="5" t="inlineStr">
        <is>
          <t>Expedited adverse-carrier request waiting for claim rep approval</t>
        </is>
      </c>
      <c r="D40" s="5" t="inlineStr">
        <is>
          <t>C-2, Gap, Contract</t>
        </is>
      </c>
      <c r="E40" s="5" t="inlineStr">
        <is>
          <t>Standard setup (Test plan, entry criteria EC-1 to EC-5). Received time set by submitting at that time or by the test-env clock override (EC-5).</t>
        </is>
      </c>
      <c r="F40" s="5" t="inlineStr">
        <is>
          <t>R-T: RQ-03, CL-01, F-01, Expedite=Yes, received Mon 2026-10-05 09:00 ET</t>
        </is>
      </c>
      <c r="G40" s="5" t="inlineStr">
        <is>
          <t>1. Submit R-T Mon 2026-10-05 09:00 ET.
2. As U-01 complete page selection but do not record the Harborline claim rep approval.
3. On 2026-10-07 check the due date and status.</t>
        </is>
      </c>
      <c r="H40" s="5" t="inlineStr">
        <is>
          <t>Release is blocked until approval is recorded (MSA Sec. 3.2, regression). If OQ-6 = clock paused while on hold: status shows on hold, due date not counted as missed. If OQ-6 = clock keeps running: due 2026-10-07 (Wed) shows as at risk on 2026-10-07.</t>
        </is>
      </c>
      <c r="I40" s="9" t="inlineStr">
        <is>
          <t>S1</t>
        </is>
      </c>
      <c r="J40" s="5" t="inlineStr">
        <is>
          <t>OQ-6</t>
        </is>
      </c>
      <c r="K40" s="8" t="inlineStr">
        <is>
          <t>Not run</t>
        </is>
      </c>
      <c r="L40" s="5" t="inlineStr"/>
      <c r="M40" s="5" t="inlineStr"/>
      <c r="N40" s="5" t="inlineStr"/>
    </row>
    <row r="41">
      <c r="A41" s="6" t="inlineStr">
        <is>
          <t>EREQ-2147-36</t>
        </is>
      </c>
      <c r="B41" s="6" t="inlineStr">
        <is>
          <t>Page Selection</t>
        </is>
      </c>
      <c r="C41" s="6" t="inlineStr">
        <is>
          <t>Harborline withheld categories still applied on an expedited request</t>
        </is>
      </c>
      <c r="D41" s="6" t="inlineStr">
        <is>
          <t>Regression, Contract</t>
        </is>
      </c>
      <c r="E41" s="6" t="inlineStr">
        <is>
          <t>Standard setup (Test plan, entry criteria EC-1 to EC-5).</t>
        </is>
      </c>
      <c r="F41" s="6" t="inlineStr">
        <is>
          <t>R-A; CL-01 file contains SIU note (p.4), reserve worksheet (p.7), mental health treatment note (p.9)</t>
        </is>
      </c>
      <c r="G41" s="6" t="inlineStr">
        <is>
          <t>1. As U-01 run page selection on R-A.
2. Check the pages marked withheld.</t>
        </is>
      </c>
      <c r="H41" s="6" t="inlineStr">
        <is>
          <t>Pages 4, 7 and 9 are withheld in full (MSA Sec. 3.1; Amendment 2 Sec. 3.4, authorization F-01 does not name mental health). Same page count released as on control R-B.</t>
        </is>
      </c>
      <c r="I41" s="9" t="inlineStr">
        <is>
          <t>S1</t>
        </is>
      </c>
      <c r="J41" s="6" t="inlineStr"/>
      <c r="K41" s="8" t="inlineStr">
        <is>
          <t>Not run</t>
        </is>
      </c>
      <c r="L41" s="6" t="inlineStr"/>
      <c r="M41" s="6" t="inlineStr"/>
      <c r="N41" s="6" t="inlineStr"/>
    </row>
    <row r="42">
      <c r="A42" s="5" t="inlineStr">
        <is>
          <t>EREQ-2147-37</t>
        </is>
      </c>
      <c r="B42" s="5" t="inlineStr">
        <is>
          <t>Page Selection</t>
        </is>
      </c>
      <c r="C42" s="5" t="inlineStr">
        <is>
          <t>Mental health pages released when the authorization names them</t>
        </is>
      </c>
      <c r="D42" s="5" t="inlineStr">
        <is>
          <t>Regression, Contract</t>
        </is>
      </c>
      <c r="E42" s="5" t="inlineStr">
        <is>
          <t>Standard setup (Test plan, entry criteria EC-1 to EC-5).</t>
        </is>
      </c>
      <c r="F42" s="5" t="inlineStr">
        <is>
          <t>R-U; CL-01 file as above; F-02 names mental health records</t>
        </is>
      </c>
      <c r="G42" s="5" t="inlineStr">
        <is>
          <t>1. Run page selection on R-U.
2. Check page 9.</t>
        </is>
      </c>
      <c r="H42" s="5" t="inlineStr">
        <is>
          <t>Page 9 is released. Pages 4 and 7 are still withheld.</t>
        </is>
      </c>
      <c r="I42" s="9" t="inlineStr">
        <is>
          <t>S1</t>
        </is>
      </c>
      <c r="J42" s="5" t="inlineStr"/>
      <c r="K42" s="8" t="inlineStr">
        <is>
          <t>Not run</t>
        </is>
      </c>
      <c r="L42" s="5" t="inlineStr"/>
      <c r="M42" s="5" t="inlineStr"/>
      <c r="N42" s="5" t="inlineStr"/>
    </row>
    <row r="43">
      <c r="A43" s="6" t="inlineStr">
        <is>
          <t>EREQ-2147-38</t>
        </is>
      </c>
      <c r="B43" s="6" t="inlineStr">
        <is>
          <t>Page Selection</t>
        </is>
      </c>
      <c r="C43" s="6" t="inlineStr">
        <is>
          <t>Tri-County protected records still withheld on an expedited request</t>
        </is>
      </c>
      <c r="D43" s="6" t="inlineStr">
        <is>
          <t>Regression, Contract</t>
        </is>
      </c>
      <c r="E43" s="6" t="inlineStr">
        <is>
          <t>Standard setup (Test plan, entry criteria EC-1 to EC-5).</t>
        </is>
      </c>
      <c r="F43" s="6" t="inlineStr">
        <is>
          <t>R-P; CL-03 file contains psychiatric note (p.3), substance use treatment record under 42 CFR Part 2 (p.5), HIV lab result (p.8); F-06 names none of these</t>
        </is>
      </c>
      <c r="G43" s="6" t="inlineStr">
        <is>
          <t>1. Run page selection on R-P.
2. Check pages 3, 5 and 8.</t>
        </is>
      </c>
      <c r="H43" s="6" t="inlineStr">
        <is>
          <t>Pages 3, 5 and 8 are withheld (Tri-County Sec. 3.1 and 3.2).</t>
        </is>
      </c>
      <c r="I43" s="9" t="inlineStr">
        <is>
          <t>S1</t>
        </is>
      </c>
      <c r="J43" s="6" t="inlineStr"/>
      <c r="K43" s="8" t="inlineStr">
        <is>
          <t>Not run</t>
        </is>
      </c>
      <c r="L43" s="6" t="inlineStr"/>
      <c r="M43" s="6" t="inlineStr"/>
      <c r="N43" s="6" t="inlineStr"/>
    </row>
    <row r="44">
      <c r="A44" s="5" t="inlineStr">
        <is>
          <t>EREQ-2147-39</t>
        </is>
      </c>
      <c r="B44" s="5" t="inlineStr">
        <is>
          <t>Page Selection</t>
        </is>
      </c>
      <c r="C44" s="5" t="inlineStr">
        <is>
          <t>Adverse carrier release still requires claim rep approval</t>
        </is>
      </c>
      <c r="D44" s="5" t="inlineStr">
        <is>
          <t>Regression, Contract</t>
        </is>
      </c>
      <c r="E44" s="5" t="inlineStr">
        <is>
          <t>Standard setup (Test plan, entry criteria EC-1 to EC-5).</t>
        </is>
      </c>
      <c r="F44" s="5" t="inlineStr">
        <is>
          <t>R-T</t>
        </is>
      </c>
      <c r="G44" s="5" t="inlineStr">
        <is>
          <t>1. Complete page selection and redaction on R-T.
2. Try to release without the approval recorded.
3. Record the approval as U-02 and release.</t>
        </is>
      </c>
      <c r="H44" s="5" t="inlineStr">
        <is>
          <t>Release is refused until the approval is recorded, then allowed. Same behavior as a non-expedited adverse-carrier request.</t>
        </is>
      </c>
      <c r="I44" s="9" t="inlineStr">
        <is>
          <t>S1</t>
        </is>
      </c>
      <c r="J44" s="5" t="inlineStr"/>
      <c r="K44" s="8" t="inlineStr">
        <is>
          <t>Not run</t>
        </is>
      </c>
      <c r="L44" s="5" t="inlineStr"/>
      <c r="M44" s="5" t="inlineStr"/>
      <c r="N44" s="5" t="inlineStr"/>
    </row>
    <row r="45">
      <c r="A45" s="6" t="inlineStr">
        <is>
          <t>EREQ-2147-40</t>
        </is>
      </c>
      <c r="B45" s="6" t="inlineStr">
        <is>
          <t>Redaction</t>
        </is>
      </c>
      <c r="C45" s="6" t="inlineStr">
        <is>
          <t>Standard and Harborline-specific redactions on an expedited request</t>
        </is>
      </c>
      <c r="D45" s="6" t="inlineStr">
        <is>
          <t>Regression, Contract</t>
        </is>
      </c>
      <c r="E45" s="6" t="inlineStr">
        <is>
          <t>Standard setup (Test plan, entry criteria EC-1 to EC-5).</t>
        </is>
      </c>
      <c r="F45" s="6" t="inlineStr">
        <is>
          <t>R-A; CL-01 file contains SSN, DOB, bank account number, and the other driver's license number, plate and VIN</t>
        </is>
      </c>
      <c r="G45" s="6" t="inlineStr">
        <is>
          <t>1. As U-01 run redaction on R-A.
2. Open the output PDF and the redaction log.</t>
        </is>
      </c>
      <c r="H45" s="6" t="inlineStr">
        <is>
          <t>SSN, DOB and account number are redacted (standard). The other driver's license number, plate and VIN are redacted (MSA Sec. 3.3). The redaction log lists each redaction with page number, same as on control R-B.</t>
        </is>
      </c>
      <c r="I45" s="9" t="inlineStr">
        <is>
          <t>S1</t>
        </is>
      </c>
      <c r="J45" s="6" t="inlineStr"/>
      <c r="K45" s="8" t="inlineStr">
        <is>
          <t>Not run</t>
        </is>
      </c>
      <c r="L45" s="6" t="inlineStr"/>
      <c r="M45" s="6" t="inlineStr"/>
      <c r="N45" s="6" t="inlineStr"/>
    </row>
    <row r="46">
      <c r="A46" s="5" t="inlineStr">
        <is>
          <t>EREQ-2147-41</t>
        </is>
      </c>
      <c r="B46" s="5" t="inlineStr">
        <is>
          <t>Billing</t>
        </is>
      </c>
      <c r="C46" s="5" t="inlineStr">
        <is>
          <t>Expedite fee line on the requestor invoice</t>
        </is>
      </c>
      <c r="D46" s="5" t="inlineStr">
        <is>
          <t>AC-3, C-4</t>
        </is>
      </c>
      <c r="E46" s="5" t="inlineStr">
        <is>
          <t>Standard setup (Test plan, entry criteria EC-1 to EC-5).</t>
        </is>
      </c>
      <c r="F46" s="5" t="inlineStr">
        <is>
          <t>R-A and control R-B, both fulfilled</t>
        </is>
      </c>
      <c r="G46" s="5" t="inlineStr">
        <is>
          <t>1. Generate the requestor invoices for R-A and R-B.
2. Compare line items and totals.</t>
        </is>
      </c>
      <c r="H46" s="5" t="inlineStr">
        <is>
          <t>R-A invoice has a line "Expedite fee" for $35.00. R-A total = R-B total + $35.00 (tax aside; see OQ-10). All other lines match R-B.</t>
        </is>
      </c>
      <c r="I46" s="9" t="inlineStr">
        <is>
          <t>S1</t>
        </is>
      </c>
      <c r="J46" s="5" t="inlineStr"/>
      <c r="K46" s="8" t="inlineStr">
        <is>
          <t>Not run</t>
        </is>
      </c>
      <c r="L46" s="5" t="inlineStr"/>
      <c r="M46" s="5" t="inlineStr"/>
      <c r="N46" s="5" t="inlineStr"/>
    </row>
    <row r="47">
      <c r="A47" s="6" t="inlineStr">
        <is>
          <t>EREQ-2147-42</t>
        </is>
      </c>
      <c r="B47" s="6" t="inlineStr">
        <is>
          <t>Billing</t>
        </is>
      </c>
      <c r="C47" s="6" t="inlineStr">
        <is>
          <t>No expedite fee on a non-expedited invoice</t>
        </is>
      </c>
      <c r="D47" s="6" t="inlineStr">
        <is>
          <t>C-4, Regression</t>
        </is>
      </c>
      <c r="E47" s="6" t="inlineStr">
        <is>
          <t>Standard setup (Test plan, entry criteria EC-1 to EC-5).</t>
        </is>
      </c>
      <c r="F47" s="6" t="inlineStr">
        <is>
          <t>R-B, R-O, R-Q</t>
        </is>
      </c>
      <c r="G47" s="6" t="inlineStr">
        <is>
          <t>1. Generate the requestor invoices for R-B, R-O and R-Q.</t>
        </is>
      </c>
      <c r="H47" s="6" t="inlineStr">
        <is>
          <t>None has an "Expedite fee" line. Totals match the state fee schedule as before the release.</t>
        </is>
      </c>
      <c r="I47" s="9" t="inlineStr">
        <is>
          <t>S1</t>
        </is>
      </c>
      <c r="J47" s="6" t="inlineStr"/>
      <c r="K47" s="8" t="inlineStr">
        <is>
          <t>Not run</t>
        </is>
      </c>
      <c r="L47" s="6" t="inlineStr"/>
      <c r="M47" s="6" t="inlineStr"/>
      <c r="N47" s="6" t="inlineStr"/>
    </row>
    <row r="48">
      <c r="A48" s="5" t="inlineStr">
        <is>
          <t>EREQ-2147-43</t>
        </is>
      </c>
      <c r="B48" s="5" t="inlineStr">
        <is>
          <t>Billing</t>
        </is>
      </c>
      <c r="C48" s="5" t="inlineStr">
        <is>
          <t>Carrier invoice is unchanged</t>
        </is>
      </c>
      <c r="D48" s="5" t="inlineStr">
        <is>
          <t>C-4, Gap, Regression</t>
        </is>
      </c>
      <c r="E48" s="5" t="inlineStr">
        <is>
          <t>Standard setup (Test plan, entry criteria EC-1 to EC-5).</t>
        </is>
      </c>
      <c r="F48" s="5" t="inlineStr">
        <is>
          <t>R-A, R-B</t>
        </is>
      </c>
      <c r="G48" s="5" t="inlineStr">
        <is>
          <t>1. Generate the Harborline carrier invoice covering R-A and R-B.</t>
        </is>
      </c>
      <c r="H48" s="5" t="inlineStr">
        <is>
          <t>No "Expedite fee" line on the carrier invoice. The per-request charges for R-A and R-B are identical.</t>
        </is>
      </c>
      <c r="I48" s="7" t="inlineStr">
        <is>
          <t>S2</t>
        </is>
      </c>
      <c r="J48" s="5" t="inlineStr"/>
      <c r="K48" s="8" t="inlineStr">
        <is>
          <t>Not run</t>
        </is>
      </c>
      <c r="L48" s="5" t="inlineStr"/>
      <c r="M48" s="5" t="inlineStr"/>
      <c r="N48" s="5" t="inlineStr"/>
    </row>
    <row r="49">
      <c r="A49" s="6" t="inlineStr">
        <is>
          <t>EREQ-2147-44</t>
        </is>
      </c>
      <c r="B49" s="6" t="inlineStr">
        <is>
          <t>Billing</t>
        </is>
      </c>
      <c r="C49" s="6" t="inlineStr">
        <is>
          <t>Tax and state fee rules on the expedite fee</t>
        </is>
      </c>
      <c r="D49" s="6" t="inlineStr">
        <is>
          <t>C-4, Gap</t>
        </is>
      </c>
      <c r="E49" s="6" t="inlineStr">
        <is>
          <t>Standard setup (Test plan, entry criteria EC-1 to EC-5).</t>
        </is>
      </c>
      <c r="F49" s="6" t="inlineStr">
        <is>
          <t>R-A (fee schedule state of CL-01)</t>
        </is>
      </c>
      <c r="G49" s="6" t="inlineStr">
        <is>
          <t>1. Open R-A's invoice and look at the tax lines.</t>
        </is>
      </c>
      <c r="H49" s="6" t="inlineStr">
        <is>
          <t>If OQ-10 = fee not taxable: tax is unchanged from R-B. If OQ-10 = taxable: tax on the $35.00 line at the state rate (record it). If OQ-10 = not allowed in this state: no checkbox shown for this state; log if shown.</t>
        </is>
      </c>
      <c r="I49" s="7" t="inlineStr">
        <is>
          <t>S2</t>
        </is>
      </c>
      <c r="J49" s="6" t="inlineStr">
        <is>
          <t>OQ-10</t>
        </is>
      </c>
      <c r="K49" s="8" t="inlineStr">
        <is>
          <t>Not run</t>
        </is>
      </c>
      <c r="L49" s="6" t="inlineStr"/>
      <c r="M49" s="6" t="inlineStr"/>
      <c r="N49" s="6" t="inlineStr"/>
    </row>
    <row r="50">
      <c r="A50" s="5" t="inlineStr">
        <is>
          <t>EREQ-2147-45</t>
        </is>
      </c>
      <c r="B50" s="5" t="inlineStr">
        <is>
          <t>Billing</t>
        </is>
      </c>
      <c r="C50" s="5" t="inlineStr">
        <is>
          <t>Cancelled expedited request</t>
        </is>
      </c>
      <c r="D50" s="5" t="inlineStr">
        <is>
          <t>C-4, Gap, Regression</t>
        </is>
      </c>
      <c r="E50" s="5" t="inlineStr">
        <is>
          <t>Standard setup (Test plan, entry criteria EC-1 to EC-5).</t>
        </is>
      </c>
      <c r="F50" s="5" t="inlineStr">
        <is>
          <t>New expedited request for CL-01 by RQ-01, cancelled before fulfillment</t>
        </is>
      </c>
      <c r="G50" s="5" t="inlineStr">
        <is>
          <t>1. Submit an expedited request.
2. Cancel it as RQ-01 (or U-03) before page selection.
3. Open the invoice or credit note.</t>
        </is>
      </c>
      <c r="H50" s="5" t="inlineStr">
        <is>
          <t>Cancellation works as for a non-expedited request. If OQ-5 = refund: no $35 charge remains (void or credit of $35.00). If OQ-5 = no refund: invoice shows only the $35.00 Expedite fee plus any existing cancellation fee.</t>
        </is>
      </c>
      <c r="I50" s="7" t="inlineStr">
        <is>
          <t>S2</t>
        </is>
      </c>
      <c r="J50" s="5" t="inlineStr">
        <is>
          <t>OQ-5</t>
        </is>
      </c>
      <c r="K50" s="8" t="inlineStr">
        <is>
          <t>Not run</t>
        </is>
      </c>
      <c r="L50" s="5" t="inlineStr"/>
      <c r="M50" s="5" t="inlineStr"/>
      <c r="N50" s="5" t="inlineStr"/>
    </row>
    <row r="51">
      <c r="A51" s="6" t="inlineStr">
        <is>
          <t>EREQ-2147-46</t>
        </is>
      </c>
      <c r="B51" s="6" t="inlineStr">
        <is>
          <t>Billing</t>
        </is>
      </c>
      <c r="C51" s="6" t="inlineStr">
        <is>
          <t>Expedited request delivered after its due date</t>
        </is>
      </c>
      <c r="D51" s="6" t="inlineStr">
        <is>
          <t>C-2, C-4, Gap</t>
        </is>
      </c>
      <c r="E51" s="6" t="inlineStr">
        <is>
          <t>Standard setup (Test plan, entry criteria EC-1 to EC-5). Clock override (EC-5) to advance past the due date.</t>
        </is>
      </c>
      <c r="F51" s="6" t="inlineStr">
        <is>
          <t>New expedited request like R-A, not worked until 2026-10-08</t>
        </is>
      </c>
      <c r="G51" s="6" t="inlineStr">
        <is>
          <t>1. Submit Mon 2026-10-05 09:00 ET with expedite.
2. Leave it untouched past 2026-10-07.
3. Fulfill on 2026-10-08 and open the invoice.</t>
        </is>
      </c>
      <c r="H51" s="6" t="inlineStr">
        <is>
          <t>If OQ-3 = automatic refund: invoice shows Expedite fee $35.00 and a matching -$35.00 credit (or no fee). If OQ-3 = refund on request: $35.00 remains and a CS task or flag is created (record what). If OQ-3 = no refund: $35.00 remains, no flag.</t>
        </is>
      </c>
      <c r="I51" s="7" t="inlineStr">
        <is>
          <t>S2</t>
        </is>
      </c>
      <c r="J51" s="6" t="inlineStr">
        <is>
          <t>OQ-3</t>
        </is>
      </c>
      <c r="K51" s="8" t="inlineStr">
        <is>
          <t>Not run</t>
        </is>
      </c>
      <c r="L51" s="6" t="inlineStr"/>
      <c r="M51" s="6" t="inlineStr"/>
      <c r="N51" s="6" t="inlineStr"/>
    </row>
    <row r="52">
      <c r="A52" s="5" t="inlineStr">
        <is>
          <t>EREQ-2147-47</t>
        </is>
      </c>
      <c r="B52" s="5" t="inlineStr">
        <is>
          <t>Notifications</t>
        </is>
      </c>
      <c r="C52" s="5" t="inlineStr">
        <is>
          <t>Confirmation email shows the expedited due date</t>
        </is>
      </c>
      <c r="D52" s="5" t="inlineStr">
        <is>
          <t>AC-4, C-5</t>
        </is>
      </c>
      <c r="E52" s="5" t="inlineStr">
        <is>
          <t>Standard setup (Test plan, entry criteria EC-1 to EC-5).</t>
        </is>
      </c>
      <c r="F52" s="5" t="inlineStr">
        <is>
          <t>R-A; RQ-01 inbox</t>
        </is>
      </c>
      <c r="G52" s="5" t="inlineStr">
        <is>
          <t>1. Open the confirmation email RQ-01 received for R-A.</t>
        </is>
      </c>
      <c r="H52" s="5" t="inlineStr">
        <is>
          <t>Sent to RQ-01's address only. States the due date as 2026-10-07 (Wed Oct 7, 2026, in the template's format). Same date as the Ecosystem record.</t>
        </is>
      </c>
      <c r="I52" s="7" t="inlineStr">
        <is>
          <t>S2</t>
        </is>
      </c>
      <c r="J52" s="5" t="inlineStr"/>
      <c r="K52" s="8" t="inlineStr">
        <is>
          <t>Not run</t>
        </is>
      </c>
      <c r="L52" s="5" t="inlineStr"/>
      <c r="M52" s="5" t="inlineStr"/>
      <c r="N52" s="5" t="inlineStr"/>
    </row>
    <row r="53">
      <c r="A53" s="6" t="inlineStr">
        <is>
          <t>EREQ-2147-48</t>
        </is>
      </c>
      <c r="B53" s="6" t="inlineStr">
        <is>
          <t>Notifications</t>
        </is>
      </c>
      <c r="C53" s="6" t="inlineStr">
        <is>
          <t>Email due date for a Friday after-cutoff submission</t>
        </is>
      </c>
      <c r="D53" s="6" t="inlineStr">
        <is>
          <t>AC-4, C-5</t>
        </is>
      </c>
      <c r="E53" s="6" t="inlineStr">
        <is>
          <t>Standard setup (Test plan, entry criteria EC-1 to EC-5).</t>
        </is>
      </c>
      <c r="F53" s="6" t="inlineStr">
        <is>
          <t>R-H; RQ-01 inbox</t>
        </is>
      </c>
      <c r="G53" s="6" t="inlineStr">
        <is>
          <t>1. Open the confirmation email for R-H.</t>
        </is>
      </c>
      <c r="H53" s="6" t="inlineStr">
        <is>
          <t>States due date 2026-10-14 (Wed Oct 14, 2026), not 2026-10-13.</t>
        </is>
      </c>
      <c r="I53" s="7" t="inlineStr">
        <is>
          <t>S2</t>
        </is>
      </c>
      <c r="J53" s="6" t="inlineStr"/>
      <c r="K53" s="8" t="inlineStr">
        <is>
          <t>Not run</t>
        </is>
      </c>
      <c r="L53" s="6" t="inlineStr"/>
      <c r="M53" s="6" t="inlineStr"/>
      <c r="N53" s="6" t="inlineStr"/>
    </row>
    <row r="54">
      <c r="A54" s="5" t="inlineStr">
        <is>
          <t>EREQ-2147-49</t>
        </is>
      </c>
      <c r="B54" s="5" t="inlineStr">
        <is>
          <t>Notifications</t>
        </is>
      </c>
      <c r="C54" s="5" t="inlineStr">
        <is>
          <t>Email due date around Thanksgiving</t>
        </is>
      </c>
      <c r="D54" s="5" t="inlineStr">
        <is>
          <t>AC-4, C-5</t>
        </is>
      </c>
      <c r="E54" s="5" t="inlineStr">
        <is>
          <t>Standard setup (Test plan, entry criteria EC-1 to EC-5). Clock override (EC-5).</t>
        </is>
      </c>
      <c r="F54" s="5" t="inlineStr">
        <is>
          <t>R-K; RQ-01 inbox</t>
        </is>
      </c>
      <c r="G54" s="5" t="inlineStr">
        <is>
          <t>1. Open the confirmation email for R-K.</t>
        </is>
      </c>
      <c r="H54" s="5" t="inlineStr">
        <is>
          <t>States due date 2026-12-02 (Wed Dec 2, 2026).</t>
        </is>
      </c>
      <c r="I54" s="7" t="inlineStr">
        <is>
          <t>S2</t>
        </is>
      </c>
      <c r="J54" s="5" t="inlineStr"/>
      <c r="K54" s="8" t="inlineStr">
        <is>
          <t>Not run</t>
        </is>
      </c>
      <c r="L54" s="5" t="inlineStr"/>
      <c r="M54" s="5" t="inlineStr"/>
      <c r="N54" s="5" t="inlineStr"/>
    </row>
    <row r="55">
      <c r="A55" s="6" t="inlineStr">
        <is>
          <t>EREQ-2147-50</t>
        </is>
      </c>
      <c r="B55" s="6" t="inlineStr">
        <is>
          <t>Notifications</t>
        </is>
      </c>
      <c r="C55" s="6" t="inlineStr">
        <is>
          <t>Email for the Pacific-time requestor</t>
        </is>
      </c>
      <c r="D55" s="6" t="inlineStr">
        <is>
          <t>AC-4, C-5, Gap</t>
        </is>
      </c>
      <c r="E55" s="6" t="inlineStr">
        <is>
          <t>Standard setup (Test plan, entry criteria EC-1 to EC-5).</t>
        </is>
      </c>
      <c r="F55" s="6" t="inlineStr">
        <is>
          <t>R-E; RQ-05 inbox</t>
        </is>
      </c>
      <c r="G55" s="6" t="inlineStr">
        <is>
          <t>1. Open the confirmation email for R-E.</t>
        </is>
      </c>
      <c r="H55" s="6" t="inlineStr">
        <is>
          <t>States due date 2026-10-08 (Thu Oct 8, 2026). If the email shows a time or time zone, it is Eastern or labeled clearly.</t>
        </is>
      </c>
      <c r="I55" s="7" t="inlineStr">
        <is>
          <t>S2</t>
        </is>
      </c>
      <c r="J55" s="6" t="inlineStr"/>
      <c r="K55" s="8" t="inlineStr">
        <is>
          <t>Not run</t>
        </is>
      </c>
      <c r="L55" s="6" t="inlineStr"/>
      <c r="M55" s="6" t="inlineStr"/>
      <c r="N55" s="6" t="inlineStr"/>
    </row>
    <row r="56">
      <c r="A56" s="5" t="inlineStr">
        <is>
          <t>EREQ-2147-51</t>
        </is>
      </c>
      <c r="B56" s="5" t="inlineStr">
        <is>
          <t>Notifications</t>
        </is>
      </c>
      <c r="C56" s="5" t="inlineStr">
        <is>
          <t>Non-expedited confirmation email unchanged</t>
        </is>
      </c>
      <c r="D56" s="5" t="inlineStr">
        <is>
          <t>C-5, Regression</t>
        </is>
      </c>
      <c r="E56" s="5" t="inlineStr">
        <is>
          <t>Standard setup (Test plan, entry criteria EC-1 to EC-5).</t>
        </is>
      </c>
      <c r="F56" s="5" t="inlineStr">
        <is>
          <t>R-B; RQ-01 inbox</t>
        </is>
      </c>
      <c r="G56" s="5" t="inlineStr">
        <is>
          <t>1. Open the confirmation email for R-B.</t>
        </is>
      </c>
      <c r="H56" s="5" t="inlineStr">
        <is>
          <t>Same template as before the release. States due date 2026-10-12. No mention of expedite or $35.</t>
        </is>
      </c>
      <c r="I56" s="7" t="inlineStr">
        <is>
          <t>S2</t>
        </is>
      </c>
      <c r="J56" s="5" t="inlineStr"/>
      <c r="K56" s="8" t="inlineStr">
        <is>
          <t>Not run</t>
        </is>
      </c>
      <c r="L56" s="5" t="inlineStr"/>
      <c r="M56" s="5" t="inlineStr"/>
      <c r="N56" s="5" t="inlineStr"/>
    </row>
    <row r="57">
      <c r="A57" s="6" t="inlineStr">
        <is>
          <t>EREQ-2147-52</t>
        </is>
      </c>
      <c r="B57" s="6" t="inlineStr">
        <is>
          <t>Portal Delivery</t>
        </is>
      </c>
      <c r="C57" s="6" t="inlineStr">
        <is>
          <t>Expedited records release only after payment including the fee</t>
        </is>
      </c>
      <c r="D57" s="6" t="inlineStr">
        <is>
          <t>C-4, Regression</t>
        </is>
      </c>
      <c r="E57" s="6" t="inlineStr">
        <is>
          <t>Standard setup (Test plan, entry criteria EC-1 to EC-5).</t>
        </is>
      </c>
      <c r="F57" s="6" t="inlineStr">
        <is>
          <t>R-A fulfilled; invoice unpaid</t>
        </is>
      </c>
      <c r="G57" s="6" t="inlineStr">
        <is>
          <t>1. As RQ-01 try to download R-A before paying.
2. Pay the invoice (test payment, includes $35.00).
3. Download the file.
4. Check the access log as U-02.</t>
        </is>
      </c>
      <c r="H57" s="6" t="inlineStr">
        <is>
          <t>Before payment: no download. After payment: the file for R-A downloads (correct claim HMT-900001, redacted version), expiry date matches the standard setting, the access log shows RQ-01 and the time.</t>
        </is>
      </c>
      <c r="I57" s="9" t="inlineStr">
        <is>
          <t>S1</t>
        </is>
      </c>
      <c r="J57" s="6" t="inlineStr"/>
      <c r="K57" s="8" t="inlineStr">
        <is>
          <t>Not run</t>
        </is>
      </c>
      <c r="L57" s="6" t="inlineStr"/>
      <c r="M57" s="6" t="inlineStr"/>
      <c r="N57" s="6" t="inlineStr"/>
    </row>
    <row r="58">
      <c r="A58" s="5" t="inlineStr">
        <is>
          <t>EREQ-2147-53</t>
        </is>
      </c>
      <c r="B58" s="5" t="inlineStr">
        <is>
          <t>Portal Delivery</t>
        </is>
      </c>
      <c r="C58" s="5" t="inlineStr">
        <is>
          <t>What meets the expedited due date</t>
        </is>
      </c>
      <c r="D58" s="5" t="inlineStr">
        <is>
          <t>C-2, Gap</t>
        </is>
      </c>
      <c r="E58" s="5" t="inlineStr">
        <is>
          <t>Standard setup (Test plan, entry criteria EC-1 to EC-5).</t>
        </is>
      </c>
      <c r="F58" s="5" t="inlineStr">
        <is>
          <t>R-A fulfilled on its due date; invoice paid the next day</t>
        </is>
      </c>
      <c r="G58" s="5" t="inlineStr">
        <is>
          <t>1. Mark R-A ready for release on 2026-10-07.
2. Pay the invoice on the next business day.
3. Check the request's on-time status.</t>
        </is>
      </c>
      <c r="H58" s="5" t="inlineStr">
        <is>
          <t>If OQ-7 = ready for release: R-A shows on time. If OQ-7 = files released: R-A shows late by 1 business day. If OQ-7 = invoice issued: on time if the invoice date is on or before the due date (record the invoice date).</t>
        </is>
      </c>
      <c r="I58" s="7" t="inlineStr">
        <is>
          <t>S2</t>
        </is>
      </c>
      <c r="J58" s="5" t="inlineStr">
        <is>
          <t>OQ-7</t>
        </is>
      </c>
      <c r="K58" s="8" t="inlineStr">
        <is>
          <t>Not run</t>
        </is>
      </c>
      <c r="L58" s="5" t="inlineStr"/>
      <c r="M58" s="5" t="inlineStr"/>
      <c r="N58" s="5" t="inlineStr"/>
    </row>
    <row r="59">
      <c r="A59" s="6" t="inlineStr">
        <is>
          <t>EREQ-2147-54</t>
        </is>
      </c>
      <c r="B59" s="6" t="inlineStr">
        <is>
          <t>Reporting</t>
        </is>
      </c>
      <c r="C59" s="6" t="inlineStr">
        <is>
          <t>Expedited column in the daily SLA report</t>
        </is>
      </c>
      <c r="D59" s="6" t="inlineStr">
        <is>
          <t>C-6</t>
        </is>
      </c>
      <c r="E59" s="6" t="inlineStr">
        <is>
          <t>Standard setup (Test plan, entry criteria EC-1 to EC-5). R-A to R-Q created.</t>
        </is>
      </c>
      <c r="F59" s="6" t="inlineStr">
        <is>
          <t>R-A, R-B, R-O, R-Q</t>
        </is>
      </c>
      <c r="G59" s="6" t="inlineStr">
        <is>
          <t>1. Run the daily SLA report for 2026-10-05.
2. Find the test requests.</t>
        </is>
      </c>
      <c r="H59" s="6" t="inlineStr">
        <is>
          <t>The report has a column "Expedited". R-A shows Yes. R-B, R-O and R-Q show No.</t>
        </is>
      </c>
      <c r="I59" s="7" t="inlineStr">
        <is>
          <t>S2</t>
        </is>
      </c>
      <c r="J59" s="6" t="inlineStr"/>
      <c r="K59" s="8" t="inlineStr">
        <is>
          <t>Not run</t>
        </is>
      </c>
      <c r="L59" s="6" t="inlineStr"/>
      <c r="M59" s="6" t="inlineStr"/>
      <c r="N59" s="6" t="inlineStr"/>
    </row>
    <row r="60">
      <c r="A60" s="5" t="inlineStr">
        <is>
          <t>EREQ-2147-55</t>
        </is>
      </c>
      <c r="B60" s="5" t="inlineStr">
        <is>
          <t>Reporting</t>
        </is>
      </c>
      <c r="C60" s="5" t="inlineStr">
        <is>
          <t>Expedited filter returns the right rows and the totals tie</t>
        </is>
      </c>
      <c r="D60" s="5" t="inlineStr">
        <is>
          <t>C-6, Regression</t>
        </is>
      </c>
      <c r="E60" s="5" t="inlineStr">
        <is>
          <t>Standard setup (Test plan, entry criteria EC-1 to EC-5).</t>
        </is>
      </c>
      <c r="F60" s="5" t="inlineStr">
        <is>
          <t>Same report as above</t>
        </is>
      </c>
      <c r="G60" s="5" t="inlineStr">
        <is>
          <t>1. Run the report unfiltered and note the row count.
2. Filter Expedited = Yes and note the count.
3. Filter Expedited = No and note the count.</t>
        </is>
      </c>
      <c r="H60" s="5" t="inlineStr">
        <is>
          <t>Yes count + No count = unfiltered count. The Yes set contains only expedited test requests. Column totals (volume, due today, late) tie to the unfiltered totals.</t>
        </is>
      </c>
      <c r="I60" s="7" t="inlineStr">
        <is>
          <t>S2</t>
        </is>
      </c>
      <c r="J60" s="5" t="inlineStr"/>
      <c r="K60" s="8" t="inlineStr">
        <is>
          <t>Not run</t>
        </is>
      </c>
      <c r="L60" s="5" t="inlineStr"/>
      <c r="M60" s="5" t="inlineStr"/>
      <c r="N60" s="5" t="inlineStr"/>
    </row>
    <row r="61">
      <c r="A61" s="6" t="inlineStr">
        <is>
          <t>EREQ-2147-56</t>
        </is>
      </c>
      <c r="B61" s="6" t="inlineStr">
        <is>
          <t>Reporting</t>
        </is>
      </c>
      <c r="C61" s="6" t="inlineStr">
        <is>
          <t>Late status of an expedited request in the SLA report</t>
        </is>
      </c>
      <c r="D61" s="6" t="inlineStr">
        <is>
          <t>C-2, C-6, Gap, Contract</t>
        </is>
      </c>
      <c r="E61" s="6" t="inlineStr">
        <is>
          <t>Standard setup (Test plan, entry criteria EC-1 to EC-5).</t>
        </is>
      </c>
      <c r="F61" s="6" t="inlineStr">
        <is>
          <t>Expedited request delivered on 2026-10-08 (from the late-delivery Billing case)</t>
        </is>
      </c>
      <c r="G61" s="6" t="inlineStr">
        <is>
          <t>1. Run the SLA report for that request.</t>
        </is>
      </c>
      <c r="H61" s="6" t="inlineStr">
        <is>
          <t>If OQ-4 = expedite clock: shows missed (due 2026-10-07). If OQ-4 = contract clock: shows on time (due 2026-10-12), and the requestor promise is tracked separately (record where).</t>
        </is>
      </c>
      <c r="I61" s="7" t="inlineStr">
        <is>
          <t>S2</t>
        </is>
      </c>
      <c r="J61" s="6" t="inlineStr">
        <is>
          <t>OQ-4</t>
        </is>
      </c>
      <c r="K61" s="8" t="inlineStr">
        <is>
          <t>Not run</t>
        </is>
      </c>
      <c r="L61" s="6" t="inlineStr"/>
      <c r="M61" s="6" t="inlineStr"/>
      <c r="N61" s="6" t="inlineStr"/>
    </row>
    <row r="62">
      <c r="A62" s="5" t="inlineStr">
        <is>
          <t>EREQ-2147-57</t>
        </is>
      </c>
      <c r="B62" s="5" t="inlineStr">
        <is>
          <t>Reporting</t>
        </is>
      </c>
      <c r="C62" s="5" t="inlineStr">
        <is>
          <t>Existing reports still total correctly</t>
        </is>
      </c>
      <c r="D62" s="5" t="inlineStr">
        <is>
          <t>Regression</t>
        </is>
      </c>
      <c r="E62" s="5" t="inlineStr">
        <is>
          <t>Standard setup (Test plan, entry criteria EC-1 to EC-5).</t>
        </is>
      </c>
      <c r="F62" s="5" t="inlineStr">
        <is>
          <t>All test requests</t>
        </is>
      </c>
      <c r="G62" s="5" t="inlineStr">
        <is>
          <t>1. Run the existing daily SLA report and the client volume report for Harborline and Tri-County for the test dates.
2. Count test requests per client by hand from the Ecosystem request list.</t>
        </is>
      </c>
      <c r="H62" s="5" t="inlineStr">
        <is>
          <t>Report totals per client equal the hand count. No test request is counted twice or missing.</t>
        </is>
      </c>
      <c r="I62" s="7" t="inlineStr">
        <is>
          <t>S2</t>
        </is>
      </c>
      <c r="J62" s="5" t="inlineStr"/>
      <c r="K62" s="8" t="inlineStr">
        <is>
          <t>Not run</t>
        </is>
      </c>
      <c r="L62" s="5" t="inlineStr"/>
      <c r="M62" s="5" t="inlineStr"/>
      <c r="N62" s="5" t="inlineStr"/>
    </row>
    <row r="63">
      <c r="A63" s="6" t="inlineStr">
        <is>
          <t>EREQ-2147-58</t>
        </is>
      </c>
      <c r="B63" s="6" t="inlineStr">
        <is>
          <t>Reporting</t>
        </is>
      </c>
      <c r="C63" s="6" t="inlineStr">
        <is>
          <t>Carrier-facing reports: Harborline weekly SLA and Tri-County monthly activity</t>
        </is>
      </c>
      <c r="D63" s="6" t="inlineStr">
        <is>
          <t>C-6, Gap, Contract</t>
        </is>
      </c>
      <c r="E63" s="6" t="inlineStr">
        <is>
          <t>Standard setup (Test plan, entry criteria EC-1 to EC-5).</t>
        </is>
      </c>
      <c r="F63" s="6" t="inlineStr">
        <is>
          <t>Harborline weekly report for the week of 2026-10-05; Tri-County monthly report for October 2026</t>
        </is>
      </c>
      <c r="G63" s="6" t="inlineStr">
        <is>
          <t>1. Generate both reports.
2. Look for expedited requests and any Expedited column.</t>
        </is>
      </c>
      <c r="H63" s="6" t="inlineStr">
        <is>
          <t>Both include every test request for that client once. If OQ-11 = show expedite to carriers: an Expedited column is present and correct. If OQ-11 = internal only: no Expedited column or fee information appears.</t>
        </is>
      </c>
      <c r="I63" s="7" t="inlineStr">
        <is>
          <t>S2</t>
        </is>
      </c>
      <c r="J63" s="6" t="inlineStr">
        <is>
          <t>OQ-11</t>
        </is>
      </c>
      <c r="K63" s="8" t="inlineStr">
        <is>
          <t>Not run</t>
        </is>
      </c>
      <c r="L63" s="6" t="inlineStr"/>
      <c r="M63" s="6" t="inlineStr"/>
      <c r="N63" s="6" t="inlineStr"/>
    </row>
    <row r="64">
      <c r="A64" s="5" t="inlineStr">
        <is>
          <t>EREQ-2147-59</t>
        </is>
      </c>
      <c r="B64" s="5" t="inlineStr">
        <is>
          <t>Admin &amp; Configuration</t>
        </is>
      </c>
      <c r="C64" s="5" t="inlineStr">
        <is>
          <t>Only authorized roles can change expedite settings; changes are logged</t>
        </is>
      </c>
      <c r="D64" s="5" t="inlineStr">
        <is>
          <t>C-1, Gap, Regression</t>
        </is>
      </c>
      <c r="E64" s="5" t="inlineStr">
        <is>
          <t>Standard setup (Test plan, entry criteria EC-1 to EC-5).</t>
        </is>
      </c>
      <c r="F64" s="5" t="inlineStr">
        <is>
          <t>U-01 (reviewer), U-03 (CS associate), U-02 (admin)</t>
        </is>
      </c>
      <c r="G64" s="5" t="inlineStr">
        <is>
          <t>1. As U-01 and then U-03 look for expedite settings (on/off, fee).
2. As U-02 switch expedite off for Tri-County, then on again.
3. Open the audit log.</t>
        </is>
      </c>
      <c r="H64" s="5" t="inlineStr">
        <is>
          <t>If OQ-2 = setting exists: U-01 and U-03 cannot see or change it; U-02 can; the audit log shows both changes with user and time. If OQ-2 = no setting: record where the fee and flag live (hard-coded or config) as a finding.</t>
        </is>
      </c>
      <c r="I64" s="7" t="inlineStr">
        <is>
          <t>S2</t>
        </is>
      </c>
      <c r="J64" s="5" t="inlineStr">
        <is>
          <t>OQ-2</t>
        </is>
      </c>
      <c r="K64" s="8" t="inlineStr">
        <is>
          <t>Not run</t>
        </is>
      </c>
      <c r="L64" s="5" t="inlineStr"/>
      <c r="M64" s="5" t="inlineStr"/>
      <c r="N64" s="5" t="inlineStr"/>
    </row>
    <row r="65">
      <c r="A65" s="6" t="inlineStr">
        <is>
          <t>EREQ-2147-60</t>
        </is>
      </c>
      <c r="B65" s="6" t="inlineStr">
        <is>
          <t>Admin &amp; Configuration</t>
        </is>
      </c>
      <c r="C65" s="6" t="inlineStr">
        <is>
          <t>Default for a new client</t>
        </is>
      </c>
      <c r="D65" s="6" t="inlineStr">
        <is>
          <t>C-1, Gap, Regression</t>
        </is>
      </c>
      <c r="E65" s="6" t="inlineStr">
        <is>
          <t>Standard setup (Test plan, entry criteria EC-1 to EC-5).</t>
        </is>
      </c>
      <c r="F65" s="6" t="inlineStr">
        <is>
          <t>U-02; new test client "Northgate Mutual (TEST)"</t>
        </is>
      </c>
      <c r="G65" s="6" t="inlineStr">
        <is>
          <t>1. As U-02 create the new client.
2. Look at its expedite setting.
3. As RQ-01 start a request for that client.</t>
        </is>
      </c>
      <c r="H65" s="6" t="inlineStr">
        <is>
          <t>If OQ-2 = default off: setting is off and no checkbox appears. If OQ-2 = default on: setting is on and the checkbox appears. Record which.</t>
        </is>
      </c>
      <c r="I65" s="10" t="inlineStr">
        <is>
          <t>S3</t>
        </is>
      </c>
      <c r="J65" s="6" t="inlineStr">
        <is>
          <t>OQ-2</t>
        </is>
      </c>
      <c r="K65" s="8" t="inlineStr">
        <is>
          <t>Not run</t>
        </is>
      </c>
      <c r="L65" s="6" t="inlineStr"/>
      <c r="M65" s="6" t="inlineStr"/>
      <c r="N65" s="6" t="inlineStr"/>
    </row>
  </sheetData>
  <autoFilter ref="A5:N65"/>
  <dataValidations count="1">
    <dataValidation sqref="K6:K205" showDropDown="0" showInputMessage="0" showErrorMessage="0" allowBlank="1" type="list">
      <formula1>"Pass,Fail,Blocked,Not run"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
  <sheetViews>
    <sheetView showGridLines="0" workbookViewId="0">
      <pane ySplit="5" topLeftCell="A6" activePane="bottomLeft" state="frozen"/>
      <selection pane="bottomLeft" activeCell="A1" sqref="A1"/>
    </sheetView>
  </sheetViews>
  <sheetFormatPr baseColWidth="8" defaultRowHeight="15"/>
  <cols>
    <col width="10" customWidth="1" min="1" max="1"/>
    <col width="22" customWidth="1" min="2" max="2"/>
    <col width="60" customWidth="1" min="3" max="3"/>
    <col width="60" customWidth="1" min="4" max="4"/>
    <col width="55" customWidth="1" min="5" max="5"/>
  </cols>
  <sheetData>
    <row r="1">
      <c r="A1" s="1" t="inlineStr">
        <is>
          <t>EREQ-2147 UAT workbook: Expedited request option</t>
        </is>
      </c>
    </row>
    <row r="2">
      <c r="A2" s="2" t="inlineStr">
        <is>
          <t>Prepared 2026-09-28 from the EREQ-2147 ticket, Harborline MSA (2023) + Amendment 2 (2026), Tri-County Services Agreement (2024). Due dates from business_days.py.</t>
        </is>
      </c>
    </row>
    <row r="3">
      <c r="A3" s="3" t="inlineStr">
        <is>
          <t>PROVISIONAL: modules, severity rubric and holiday calendar are the SAMPLE reference files. Confirm with Heidy before sign-off (OQ-12).</t>
        </is>
      </c>
    </row>
    <row r="5">
      <c r="A5" s="4" t="inlineStr">
        <is>
          <t>ID</t>
        </is>
      </c>
      <c r="B5" s="4" t="inlineStr">
        <is>
          <t>Type</t>
        </is>
      </c>
      <c r="C5" s="4" t="inlineStr">
        <is>
          <t>Text</t>
        </is>
      </c>
      <c r="D5" s="4" t="inlineStr">
        <is>
          <t>Covered by</t>
        </is>
      </c>
      <c r="E5" s="4" t="inlineStr">
        <is>
          <t>Case count (live)</t>
        </is>
      </c>
    </row>
    <row r="6">
      <c r="A6" s="5" t="inlineStr">
        <is>
          <t>AC-1</t>
        </is>
      </c>
      <c r="B6" s="5" t="inlineStr">
        <is>
          <t>Acceptance criterion</t>
        </is>
      </c>
      <c r="C6" s="5" t="inlineStr">
        <is>
          <t>Checkbox appears on the intake form and is saved with the request.</t>
        </is>
      </c>
      <c r="D6" s="5" t="inlineStr">
        <is>
          <t>EREQ-2147-01, EREQ-2147-02, EREQ-2147-03</t>
        </is>
      </c>
      <c r="E6" s="5">
        <f>SUMPRODUCT(--ISNUMBER(FIND(", AC-1,",", "&amp;'Test cases'!$D$6:$D$205&amp;",")))</f>
        <v/>
      </c>
    </row>
    <row r="7">
      <c r="A7" s="6" t="inlineStr">
        <is>
          <t>AC-2</t>
        </is>
      </c>
      <c r="B7" s="6" t="inlineStr">
        <is>
          <t>Acceptance criterion</t>
        </is>
      </c>
      <c r="C7" s="6" t="inlineStr">
        <is>
          <t>Expedited requests show the badge and sort first in the queue.</t>
        </is>
      </c>
      <c r="D7" s="6" t="inlineStr">
        <is>
          <t>EREQ-2147-29, EREQ-2147-30</t>
        </is>
      </c>
      <c r="E7" s="6">
        <f>SUMPRODUCT(--ISNUMBER(FIND(", AC-2,",", "&amp;'Test cases'!$D$6:$D$205&amp;",")))</f>
        <v/>
      </c>
    </row>
    <row r="8">
      <c r="A8" s="5" t="inlineStr">
        <is>
          <t>AC-3</t>
        </is>
      </c>
      <c r="B8" s="5" t="inlineStr">
        <is>
          <t>Acceptance criterion</t>
        </is>
      </c>
      <c r="C8" s="5" t="inlineStr">
        <is>
          <t>Invoice shows the $35 line.</t>
        </is>
      </c>
      <c r="D8" s="5" t="inlineStr">
        <is>
          <t>EREQ-2147-41</t>
        </is>
      </c>
      <c r="E8" s="5">
        <f>SUMPRODUCT(--ISNUMBER(FIND(", AC-3,",", "&amp;'Test cases'!$D$6:$D$205&amp;",")))</f>
        <v/>
      </c>
    </row>
    <row r="9">
      <c r="A9" s="6" t="inlineStr">
        <is>
          <t>AC-4</t>
        </is>
      </c>
      <c r="B9" s="6" t="inlineStr">
        <is>
          <t>Acceptance criterion</t>
        </is>
      </c>
      <c r="C9" s="6" t="inlineStr">
        <is>
          <t>Confirmation email shows the correct due date.</t>
        </is>
      </c>
      <c r="D9" s="6" t="inlineStr">
        <is>
          <t>EREQ-2147-14, EREQ-2147-47, EREQ-2147-48, EREQ-2147-49, EREQ-2147-50</t>
        </is>
      </c>
      <c r="E9" s="6">
        <f>SUMPRODUCT(--ISNUMBER(FIND(", AC-4,",", "&amp;'Test cases'!$D$6:$D$205&amp;",")))</f>
        <v/>
      </c>
    </row>
    <row r="10">
      <c r="A10" s="5" t="inlineStr">
        <is>
          <t>C-1</t>
        </is>
      </c>
      <c r="B10" s="5" t="inlineStr">
        <is>
          <t>Change</t>
        </is>
      </c>
      <c r="C10" s="5" t="inlineStr">
        <is>
          <t>Add an "Expedite this request (+$35)" checkbox to the requestor portal intake form.</t>
        </is>
      </c>
      <c r="D10" s="5" t="inlineStr">
        <is>
          <t>EREQ-2147-01, EREQ-2147-02, EREQ-2147-03, EREQ-2147-04, EREQ-2147-05, EREQ-2147-06, EREQ-2147-07, EREQ-2147-08, EREQ-2147-09, EREQ-2147-10, EREQ-2147-11, EREQ-2147-59, EREQ-2147-60</t>
        </is>
      </c>
      <c r="E10" s="5">
        <f>SUMPRODUCT(--ISNUMBER(FIND(", C-1,",", "&amp;'Test cases'!$D$6:$D$205&amp;",")))</f>
        <v/>
      </c>
    </row>
    <row r="11">
      <c r="A11" s="6" t="inlineStr">
        <is>
          <t>C-2</t>
        </is>
      </c>
      <c r="B11" s="6" t="inlineStr">
        <is>
          <t>Change</t>
        </is>
      </c>
      <c r="C11" s="6" t="inlineStr">
        <is>
          <t>Expedited requests get a 2-business-day turnaround clock instead of the client's contracted clock.</t>
        </is>
      </c>
      <c r="D11" s="6" t="inlineStr">
        <is>
          <t>EREQ-2147-12, EREQ-2147-13, EREQ-2147-14, EREQ-2147-15, EREQ-2147-16, EREQ-2147-17, EREQ-2147-18, EREQ-2147-19, EREQ-2147-20, EREQ-2147-21, EREQ-2147-22, EREQ-2147-23, EREQ-2147-24, EREQ-2147-25, EREQ-2147-26, EREQ-2147-28, EREQ-2147-35, EREQ-2147-46, EREQ-2147-53, EREQ-2147-56</t>
        </is>
      </c>
      <c r="E11" s="6">
        <f>SUMPRODUCT(--ISNUMBER(FIND(", C-2,",", "&amp;'Test cases'!$D$6:$D$205&amp;",")))</f>
        <v/>
      </c>
    </row>
    <row r="12">
      <c r="A12" s="5" t="inlineStr">
        <is>
          <t>C-3</t>
        </is>
      </c>
      <c r="B12" s="5" t="inlineStr">
        <is>
          <t>Change</t>
        </is>
      </c>
      <c r="C12" s="5" t="inlineStr">
        <is>
          <t>Expedited requests go to the top of the review queue and show a red EXPEDITE badge.</t>
        </is>
      </c>
      <c r="D12" s="5" t="inlineStr">
        <is>
          <t>EREQ-2147-29, EREQ-2147-30, EREQ-2147-31, EREQ-2147-32, EREQ-2147-33, EREQ-2147-34</t>
        </is>
      </c>
      <c r="E12" s="5">
        <f>SUMPRODUCT(--ISNUMBER(FIND(", C-3,",", "&amp;'Test cases'!$D$6:$D$205&amp;",")))</f>
        <v/>
      </c>
    </row>
    <row r="13">
      <c r="A13" s="6" t="inlineStr">
        <is>
          <t>C-4</t>
        </is>
      </c>
      <c r="B13" s="6" t="inlineStr">
        <is>
          <t>Change</t>
        </is>
      </c>
      <c r="C13" s="6" t="inlineStr">
        <is>
          <t>Billing adds a $35 "Expedite fee" line to the requestor invoice.</t>
        </is>
      </c>
      <c r="D13" s="6" t="inlineStr">
        <is>
          <t>EREQ-2147-07, EREQ-2147-41, EREQ-2147-42, EREQ-2147-43, EREQ-2147-44, EREQ-2147-45, EREQ-2147-46, EREQ-2147-52</t>
        </is>
      </c>
      <c r="E13" s="6">
        <f>SUMPRODUCT(--ISNUMBER(FIND(", C-4,",", "&amp;'Test cases'!$D$6:$D$205&amp;",")))</f>
        <v/>
      </c>
    </row>
    <row r="14">
      <c r="A14" s="5" t="inlineStr">
        <is>
          <t>C-5</t>
        </is>
      </c>
      <c r="B14" s="5" t="inlineStr">
        <is>
          <t>Change</t>
        </is>
      </c>
      <c r="C14" s="5" t="inlineStr">
        <is>
          <t>The requestor gets a confirmation email stating the expedited due date.</t>
        </is>
      </c>
      <c r="D14" s="5" t="inlineStr">
        <is>
          <t>EREQ-2147-47, EREQ-2147-48, EREQ-2147-49, EREQ-2147-50, EREQ-2147-51</t>
        </is>
      </c>
      <c r="E14" s="5">
        <f>SUMPRODUCT(--ISNUMBER(FIND(", C-5,",", "&amp;'Test cases'!$D$6:$D$205&amp;",")))</f>
        <v/>
      </c>
    </row>
    <row r="15">
      <c r="A15" s="6" t="inlineStr">
        <is>
          <t>C-6</t>
        </is>
      </c>
      <c r="B15" s="6" t="inlineStr">
        <is>
          <t>Change</t>
        </is>
      </c>
      <c r="C15" s="6" t="inlineStr">
        <is>
          <t>Add an "Expedited" filter and column to the daily SLA report.</t>
        </is>
      </c>
      <c r="D15" s="6" t="inlineStr">
        <is>
          <t>EREQ-2147-54, EREQ-2147-55, EREQ-2147-56, EREQ-2147-58</t>
        </is>
      </c>
      <c r="E15" s="6">
        <f>SUMPRODUCT(--ISNUMBER(FIND(", C-6,",", "&amp;'Test cases'!$D$6:$D$205&amp;",")))</f>
        <v/>
      </c>
    </row>
    <row r="16">
      <c r="A16" s="5" t="inlineStr">
        <is>
          <t>(none)</t>
        </is>
      </c>
      <c r="B16" s="5" t="inlineStr">
        <is>
          <t>Note</t>
        </is>
      </c>
      <c r="C16" s="5" t="inlineStr">
        <is>
          <t>No acceptance criterion covers C-2 (the due date on the request itself) or C-6 (SLA report). Cases were written for both anyway; CX should add ACs.</t>
        </is>
      </c>
      <c r="D16" s="5" t="inlineStr"/>
      <c r="E16" s="5" t="inlineStr"/>
    </row>
  </sheetData>
  <autoFilter ref="A5:E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8"/>
  <sheetViews>
    <sheetView showGridLines="0" workbookViewId="0">
      <pane ySplit="5" topLeftCell="A6" activePane="bottomLeft" state="frozen"/>
      <selection pane="bottomLeft" activeCell="A1" sqref="A1"/>
    </sheetView>
  </sheetViews>
  <sheetFormatPr baseColWidth="8" defaultRowHeight="15"/>
  <cols>
    <col width="20" customWidth="1" min="1" max="1"/>
    <col width="42" customWidth="1" min="2" max="2"/>
    <col width="45" customWidth="1" min="3" max="3"/>
    <col width="55" customWidth="1" min="4" max="4"/>
    <col width="15" customWidth="1" min="5" max="5"/>
    <col width="42" customWidth="1" min="6" max="6"/>
    <col width="15" customWidth="1" min="7" max="7"/>
  </cols>
  <sheetData>
    <row r="1">
      <c r="A1" s="1" t="inlineStr">
        <is>
          <t>EREQ-2147 UAT workbook: Expedited request option</t>
        </is>
      </c>
    </row>
    <row r="2">
      <c r="A2" s="2" t="inlineStr">
        <is>
          <t>Prepared 2026-09-28 from the EREQ-2147 ticket, Harborline MSA (2023) + Amendment 2 (2026), Tri-County Services Agreement (2024). Due dates from business_days.py.</t>
        </is>
      </c>
    </row>
    <row r="3">
      <c r="A3" s="3" t="inlineStr">
        <is>
          <t>PROVISIONAL: modules, severity rubric and holiday calendar are the SAMPLE reference files. Confirm with Heidy before sign-off (OQ-12).</t>
        </is>
      </c>
    </row>
    <row r="5">
      <c r="A5" s="4" t="inlineStr">
        <is>
          <t>Client</t>
        </is>
      </c>
      <c r="B5" s="4" t="inlineStr">
        <is>
          <t>Clause</t>
        </is>
      </c>
      <c r="C5" s="4" t="inlineStr">
        <is>
          <t>What it says</t>
        </is>
      </c>
      <c r="D5" s="4" t="inlineStr">
        <is>
          <t>How EREQ-2147 interacts</t>
        </is>
      </c>
      <c r="E5" s="4" t="inlineStr">
        <is>
          <t>Finding</t>
        </is>
      </c>
      <c r="F5" s="4" t="inlineStr">
        <is>
          <t>Covering case(s)</t>
        </is>
      </c>
      <c r="G5" s="4" t="inlineStr">
        <is>
          <t>Open question</t>
        </is>
      </c>
    </row>
    <row r="6">
      <c r="A6" s="5" t="inlineStr">
        <is>
          <t>Harborline Mutual</t>
        </is>
      </c>
      <c r="B6" s="5" t="inlineStr">
        <is>
          <t>Amendment 2, Sec. 2.2 (replaces MSA 2.2)</t>
        </is>
      </c>
      <c r="C6" s="5" t="inlineStr">
        <is>
          <t>Subpoenas within 3 business days of receipt or by the return date, whichever is earlier.</t>
        </is>
      </c>
      <c r="D6" s="5" t="inlineStr">
        <is>
          <t>Ticket says the 2-day clock applies "instead of" the contracted clock. A subpoena with a return date 1 day out would get a LATER due date by being expedited.</t>
        </is>
      </c>
      <c r="E6" s="9" t="inlineStr">
        <is>
          <t>Conflict</t>
        </is>
      </c>
      <c r="F6" s="5" t="inlineStr">
        <is>
          <t>EREQ-2147-25, EREQ-2147-32</t>
        </is>
      </c>
      <c r="G6" s="5" t="inlineStr">
        <is>
          <t>OQ-1, OQ-9</t>
        </is>
      </c>
    </row>
    <row r="7">
      <c r="A7" s="6" t="inlineStr">
        <is>
          <t>Harborline Mutual</t>
        </is>
      </c>
      <c r="B7" s="6" t="inlineStr">
        <is>
          <t>Amendment 2, Sec. 2.1 (replaces MSA 2.1)</t>
        </is>
      </c>
      <c r="C7" s="6" t="inlineStr">
        <is>
          <t>Complete requests within 5 business days (was 7 in the 2023 MSA).</t>
        </is>
      </c>
      <c r="D7" s="6" t="inlineStr">
        <is>
          <t>Expedite (2 days) is shorter, so no conflict. Confirms the non-expedited clock is 5, not 7.</t>
        </is>
      </c>
      <c r="E7" s="11" t="inlineStr">
        <is>
          <t>Regression</t>
        </is>
      </c>
      <c r="F7" s="6" t="inlineStr">
        <is>
          <t>EREQ-2147-27</t>
        </is>
      </c>
      <c r="G7" s="6" t="inlineStr"/>
    </row>
    <row r="8">
      <c r="A8" s="5" t="inlineStr">
        <is>
          <t>Harborline Mutual</t>
        </is>
      </c>
      <c r="B8" s="5" t="inlineStr">
        <is>
          <t>Amendment 2, Sec. 2.4</t>
        </is>
      </c>
      <c r="C8" s="5" t="inlineStr">
        <is>
          <t>2% monthly service credit if more than 5% of requests miss the Sec. 2.1 turnaround.</t>
        </is>
      </c>
      <c r="D8" s="5" t="inlineStr">
        <is>
          <t>Expedited requests jump the queue, which pushes standard requests later. The report must also pick one clock for 'missed'.</t>
        </is>
      </c>
      <c r="E8" s="7" t="inlineStr">
        <is>
          <t>Risk</t>
        </is>
      </c>
      <c r="F8" s="5" t="inlineStr">
        <is>
          <t>EREQ-2147-56, EREQ-2147-34</t>
        </is>
      </c>
      <c r="G8" s="5" t="inlineStr">
        <is>
          <t>OQ-4</t>
        </is>
      </c>
    </row>
    <row r="9">
      <c r="A9" s="6" t="inlineStr">
        <is>
          <t>Harborline Mutual</t>
        </is>
      </c>
      <c r="B9" s="6" t="inlineStr">
        <is>
          <t>MSA Sec. 2.3</t>
        </is>
      </c>
      <c r="C9" s="6" t="inlineStr">
        <is>
          <t>Weekly service level report to the carrier: volume, turnaround, missed service levels.</t>
        </is>
      </c>
      <c r="D9" s="6" t="inlineStr">
        <is>
          <t>New Expedited data and a second clock; not stated whether carriers see it.</t>
        </is>
      </c>
      <c r="E9" s="7" t="inlineStr">
        <is>
          <t>Risk</t>
        </is>
      </c>
      <c r="F9" s="6" t="inlineStr">
        <is>
          <t>EREQ-2147-58</t>
        </is>
      </c>
      <c r="G9" s="6" t="inlineStr">
        <is>
          <t>OQ-11</t>
        </is>
      </c>
    </row>
    <row r="10">
      <c r="A10" s="5" t="inlineStr">
        <is>
          <t>Harborline Mutual</t>
        </is>
      </c>
      <c r="B10" s="5" t="inlineStr">
        <is>
          <t>MSA Sec. 3.2</t>
        </is>
      </c>
      <c r="C10" s="5" t="inlineStr">
        <is>
          <t>Written claim rep approval before releasing to an adverse carrier.</t>
        </is>
      </c>
      <c r="D10" s="5" t="inlineStr">
        <is>
          <t>A paid 2-day promise ClaimFox can't control while waiting for approval.</t>
        </is>
      </c>
      <c r="E10" s="9" t="inlineStr">
        <is>
          <t>Conflict</t>
        </is>
      </c>
      <c r="F10" s="5" t="inlineStr">
        <is>
          <t>EREQ-2147-35, EREQ-2147-39</t>
        </is>
      </c>
      <c r="G10" s="5" t="inlineStr">
        <is>
          <t>OQ-6</t>
        </is>
      </c>
    </row>
    <row r="11">
      <c r="A11" s="6" t="inlineStr">
        <is>
          <t>Harborline Mutual</t>
        </is>
      </c>
      <c r="B11" s="6" t="inlineStr">
        <is>
          <t>MSA Sec. 3.1, 3.3; Amendment 2 Sec. 3.4</t>
        </is>
      </c>
      <c r="C11" s="6" t="inlineStr">
        <is>
          <t>Withhold SIU, reserve and valuation pages; extra redactions (DL, plates, VINs); withhold mental health unless authorization names it.</t>
        </is>
      </c>
      <c r="D11" s="6" t="inlineStr">
        <is>
          <t>No rule change, but a compressed clock raises the risk of a rushed review. Must regression-test on expedited requests.</t>
        </is>
      </c>
      <c r="E11" s="11" t="inlineStr">
        <is>
          <t>Regression</t>
        </is>
      </c>
      <c r="F11" s="6" t="inlineStr">
        <is>
          <t>EREQ-2147-36, EREQ-2147-37, EREQ-2147-40</t>
        </is>
      </c>
      <c r="G11" s="6" t="inlineStr"/>
    </row>
    <row r="12">
      <c r="A12" s="5" t="inlineStr">
        <is>
          <t>Harborline Mutual</t>
        </is>
      </c>
      <c r="B12" s="5" t="inlineStr">
        <is>
          <t>MSA Sec. 4.4</t>
        </is>
      </c>
      <c r="C12" s="5" t="inlineStr">
        <is>
          <t>No automated decision-making on what is released without carrier approval.</t>
        </is>
      </c>
      <c r="D12" s="5" t="inlineStr">
        <is>
          <t>Only relevant if expedite is met by routing to any automated page selection. Confirm with Heidy (entry criterion EC-6).</t>
        </is>
      </c>
      <c r="E12" s="11" t="inlineStr">
        <is>
          <t>Regression</t>
        </is>
      </c>
      <c r="F12" s="5" t="inlineStr">
        <is>
          <t>(entry criterion EC-6)</t>
        </is>
      </c>
      <c r="G12" s="5" t="inlineStr"/>
    </row>
    <row r="13">
      <c r="A13" s="6" t="inlineStr">
        <is>
          <t>Harborline Mutual</t>
        </is>
      </c>
      <c r="B13" s="6" t="inlineStr">
        <is>
          <t>(silent)</t>
        </is>
      </c>
      <c r="C13" s="6" t="inlineStr">
        <is>
          <t>No clause on fees charged to requestors.</t>
        </is>
      </c>
      <c r="D13" s="6" t="inlineStr">
        <is>
          <t>Ticket charges Harborline's requestors $35. Not prohibited, not authorized.</t>
        </is>
      </c>
      <c r="E13" s="10" t="inlineStr">
        <is>
          <t>Not specified</t>
        </is>
      </c>
      <c r="F13" s="6" t="inlineStr">
        <is>
          <t>EREQ-2147-41, EREQ-2147-58</t>
        </is>
      </c>
      <c r="G13" s="6" t="inlineStr">
        <is>
          <t>OQ-11</t>
        </is>
      </c>
    </row>
    <row r="14">
      <c r="A14" s="5" t="inlineStr">
        <is>
          <t>Tri-County WC Fund</t>
        </is>
      </c>
      <c r="B14" s="5" t="inlineStr">
        <is>
          <t>Sec. 2.1</t>
        </is>
      </c>
      <c r="C14" s="5" t="inlineStr">
        <is>
          <t>Complete requests within 10 business days.</t>
        </is>
      </c>
      <c r="D14" s="5" t="inlineStr">
        <is>
          <t>Expedite is shorter; no conflict.</t>
        </is>
      </c>
      <c r="E14" s="11" t="inlineStr">
        <is>
          <t>Regression</t>
        </is>
      </c>
      <c r="F14" s="5" t="inlineStr">
        <is>
          <t>EREQ-2147-28</t>
        </is>
      </c>
      <c r="G14" s="5" t="inlineStr"/>
    </row>
    <row r="15">
      <c r="A15" s="6" t="inlineStr">
        <is>
          <t>Tri-County WC Fund</t>
        </is>
      </c>
      <c r="B15" s="6" t="inlineStr">
        <is>
          <t>Sec. 2.2</t>
        </is>
      </c>
      <c r="C15" s="6" t="inlineStr">
        <is>
          <t>Workers' Compensation Board requests within 5 business days.</t>
        </is>
      </c>
      <c r="D15" s="6" t="inlineStr">
        <is>
          <t>The Board is a state agency and likely not charged. Ticket doesn't say whether it can expedite or pays $35.</t>
        </is>
      </c>
      <c r="E15" s="10" t="inlineStr">
        <is>
          <t>Not specified</t>
        </is>
      </c>
      <c r="F15" s="6" t="inlineStr">
        <is>
          <t>EREQ-2147-07</t>
        </is>
      </c>
      <c r="G15" s="6" t="inlineStr">
        <is>
          <t>OQ-2</t>
        </is>
      </c>
    </row>
    <row r="16">
      <c r="A16" s="5" t="inlineStr">
        <is>
          <t>Tri-County WC Fund</t>
        </is>
      </c>
      <c r="B16" s="5" t="inlineStr">
        <is>
          <t>Sec. 2.3</t>
        </is>
      </c>
      <c r="C16" s="5" t="inlineStr">
        <is>
          <t>Requests with a court order "handled promptly".</t>
        </is>
      </c>
      <c r="D16" s="5" t="inlineStr">
        <is>
          <t>"Promptly" is undefined, so it's unclear whether 2 days is faster or slower than what is owed.</t>
        </is>
      </c>
      <c r="E16" s="9" t="inlineStr">
        <is>
          <t>Unclear</t>
        </is>
      </c>
      <c r="F16" s="5" t="inlineStr">
        <is>
          <t>EREQ-2147-26</t>
        </is>
      </c>
      <c r="G16" s="5" t="inlineStr">
        <is>
          <t>OQ-1</t>
        </is>
      </c>
    </row>
    <row r="17">
      <c r="A17" s="6" t="inlineStr">
        <is>
          <t>Tri-County WC Fund</t>
        </is>
      </c>
      <c r="B17" s="6" t="inlineStr">
        <is>
          <t>Sec. 3.1, 3.2</t>
        </is>
      </c>
      <c r="C17" s="6" t="inlineStr">
        <is>
          <t>Withhold psychiatric records, 42 CFR Part 2 records and HIV information without specific authorization.</t>
        </is>
      </c>
      <c r="D17" s="6" t="inlineStr">
        <is>
          <t>No rule change; regression on expedited requests.</t>
        </is>
      </c>
      <c r="E17" s="11" t="inlineStr">
        <is>
          <t>Regression</t>
        </is>
      </c>
      <c r="F17" s="6" t="inlineStr">
        <is>
          <t>EREQ-2147-38</t>
        </is>
      </c>
      <c r="G17" s="6" t="inlineStr"/>
    </row>
    <row r="18">
      <c r="A18" s="5" t="inlineStr">
        <is>
          <t>Tri-County WC Fund</t>
        </is>
      </c>
      <c r="B18" s="5" t="inlineStr">
        <is>
          <t>Sec. 6.1</t>
        </is>
      </c>
      <c r="C18" s="5" t="inlineStr">
        <is>
          <t>Monthly activity report by the 10th business day.</t>
        </is>
      </c>
      <c r="D18" s="5" t="inlineStr">
        <is>
          <t>Report must still total correctly with expedited requests.</t>
        </is>
      </c>
      <c r="E18" s="11" t="inlineStr">
        <is>
          <t>Regression</t>
        </is>
      </c>
      <c r="F18" s="5" t="inlineStr">
        <is>
          <t>EREQ-2147-58, EREQ-2147-57</t>
        </is>
      </c>
      <c r="G18" s="5" t="inlineStr">
        <is>
          <t>OQ-11</t>
        </is>
      </c>
    </row>
  </sheetData>
  <autoFilter ref="A5:G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8"/>
  <sheetViews>
    <sheetView showGridLines="0" workbookViewId="0">
      <pane ySplit="5" topLeftCell="A6" activePane="bottomLeft" state="frozen"/>
      <selection pane="bottomLeft" activeCell="A1" sqref="A1"/>
    </sheetView>
  </sheetViews>
  <sheetFormatPr baseColWidth="8" defaultRowHeight="15"/>
  <cols>
    <col width="44" customWidth="1" min="1" max="1"/>
    <col width="12" customWidth="1" min="2" max="2"/>
    <col width="17" customWidth="1" min="3" max="3"/>
    <col width="28" customWidth="1" min="4" max="4"/>
    <col width="28" customWidth="1" min="5" max="5"/>
    <col width="29" customWidth="1" min="6" max="6"/>
    <col width="23" customWidth="1" min="7" max="7"/>
    <col width="41" customWidth="1" min="8" max="8"/>
    <col width="55" customWidth="1" min="9" max="9"/>
  </cols>
  <sheetData>
    <row r="1">
      <c r="A1" s="1" t="inlineStr">
        <is>
          <t>EREQ-2147 UAT workbook: Expedited request option</t>
        </is>
      </c>
    </row>
    <row r="2">
      <c r="A2" s="2" t="inlineStr">
        <is>
          <t>Prepared 2026-09-28 from the EREQ-2147 ticket, Harborline MSA (2023) + Amendment 2 (2026), Tri-County Services Agreement (2024). Due dates from business_days.py.</t>
        </is>
      </c>
    </row>
    <row r="3">
      <c r="A3" s="3" t="inlineStr">
        <is>
          <t>PROVISIONAL: modules, severity rubric and holiday calendar are the SAMPLE reference files. Confirm with Heidy before sign-off (OQ-12).</t>
        </is>
      </c>
    </row>
    <row r="5">
      <c r="A5" s="4" t="inlineStr">
        <is>
          <t>Received</t>
        </is>
      </c>
      <c r="B5" s="4" t="inlineStr">
        <is>
          <t>Day 0</t>
        </is>
      </c>
      <c r="C5" s="4" t="inlineStr">
        <is>
          <t>Expedite (2 bd)</t>
        </is>
      </c>
      <c r="D5" s="4" t="inlineStr">
        <is>
          <t>Harborline standard (5 bd)</t>
        </is>
      </c>
      <c r="E5" s="4" t="inlineStr">
        <is>
          <t>Harborline subpoena (3 bd)</t>
        </is>
      </c>
      <c r="F5" s="4" t="inlineStr">
        <is>
          <t>Tri-County standard (10 bd)</t>
        </is>
      </c>
      <c r="G5" s="4" t="inlineStr">
        <is>
          <t>Tri-County WCB (5 bd)</t>
        </is>
      </c>
      <c r="H5" s="4" t="inlineStr">
        <is>
          <t>Harborline 2023 MSA (superseded) (7 bd)</t>
        </is>
      </c>
      <c r="I5" s="4" t="inlineStr">
        <is>
          <t>Used by test requests</t>
        </is>
      </c>
    </row>
    <row r="6">
      <c r="A6" s="5" t="inlineStr">
        <is>
          <t>Mon 2026-10-05 09:00 ET</t>
        </is>
      </c>
      <c r="B6" s="12" t="n">
        <v>46300</v>
      </c>
      <c r="C6" s="12" t="n">
        <v>46302</v>
      </c>
      <c r="D6" s="12" t="n">
        <v>46307</v>
      </c>
      <c r="E6" s="12" t="n">
        <v>46303</v>
      </c>
      <c r="F6" s="12" t="n">
        <v>46314</v>
      </c>
      <c r="G6" s="12" t="n">
        <v>46307</v>
      </c>
      <c r="H6" s="12" t="n">
        <v>46309</v>
      </c>
      <c r="I6" s="5" t="inlineStr">
        <is>
          <t>R-A, R-B, R-M, R-N, R-O, R-P, R-Q, R-R, R-S, R-T, R-U</t>
        </is>
      </c>
    </row>
    <row r="7">
      <c r="A7" s="6" t="inlineStr">
        <is>
          <t>Mon 2026-10-05 17:00 ET</t>
        </is>
      </c>
      <c r="B7" s="13" t="n">
        <v>46300</v>
      </c>
      <c r="C7" s="13" t="n">
        <v>46302</v>
      </c>
      <c r="D7" s="13" t="n">
        <v>46307</v>
      </c>
      <c r="E7" s="13" t="n">
        <v>46303</v>
      </c>
      <c r="F7" s="13" t="n">
        <v>46314</v>
      </c>
      <c r="G7" s="13" t="n">
        <v>46307</v>
      </c>
      <c r="H7" s="13" t="n">
        <v>46309</v>
      </c>
      <c r="I7" s="6" t="inlineStr">
        <is>
          <t>R-C</t>
        </is>
      </c>
    </row>
    <row r="8">
      <c r="A8" s="5" t="inlineStr">
        <is>
          <t>Mon 2026-10-05 17:01 ET</t>
        </is>
      </c>
      <c r="B8" s="12" t="n">
        <v>46301</v>
      </c>
      <c r="C8" s="12" t="n">
        <v>46303</v>
      </c>
      <c r="D8" s="12" t="n">
        <v>46308</v>
      </c>
      <c r="E8" s="12" t="n">
        <v>46304</v>
      </c>
      <c r="F8" s="12" t="n">
        <v>46315</v>
      </c>
      <c r="G8" s="12" t="n">
        <v>46308</v>
      </c>
      <c r="H8" s="12" t="n">
        <v>46310</v>
      </c>
      <c r="I8" s="5" t="inlineStr">
        <is>
          <t>R-D</t>
        </is>
      </c>
    </row>
    <row r="9">
      <c r="A9" s="6" t="inlineStr">
        <is>
          <t>Mon 2026-10-05 18:00 ET</t>
        </is>
      </c>
      <c r="B9" s="13" t="n">
        <v>46301</v>
      </c>
      <c r="C9" s="13" t="n">
        <v>46303</v>
      </c>
      <c r="D9" s="13" t="n">
        <v>46308</v>
      </c>
      <c r="E9" s="13" t="n">
        <v>46304</v>
      </c>
      <c r="F9" s="13" t="n">
        <v>46315</v>
      </c>
      <c r="G9" s="13" t="n">
        <v>46308</v>
      </c>
      <c r="H9" s="13" t="n">
        <v>46310</v>
      </c>
      <c r="I9" s="6" t="inlineStr">
        <is>
          <t>R-E</t>
        </is>
      </c>
    </row>
    <row r="10">
      <c r="A10" s="5" t="inlineStr">
        <is>
          <t>Thu 2026-10-08 10:00 ET</t>
        </is>
      </c>
      <c r="B10" s="12" t="n">
        <v>46303</v>
      </c>
      <c r="C10" s="12" t="n">
        <v>46307</v>
      </c>
      <c r="D10" s="12" t="n">
        <v>46310</v>
      </c>
      <c r="E10" s="12" t="n">
        <v>46308</v>
      </c>
      <c r="F10" s="12" t="n">
        <v>46317</v>
      </c>
      <c r="G10" s="12" t="n">
        <v>46310</v>
      </c>
      <c r="H10" s="12" t="n">
        <v>46314</v>
      </c>
      <c r="I10" s="5" t="inlineStr">
        <is>
          <t>R-F</t>
        </is>
      </c>
    </row>
    <row r="11">
      <c r="A11" s="6" t="inlineStr">
        <is>
          <t>Fri 2026-10-09 16:59 ET</t>
        </is>
      </c>
      <c r="B11" s="13" t="n">
        <v>46304</v>
      </c>
      <c r="C11" s="13" t="n">
        <v>46308</v>
      </c>
      <c r="D11" s="13" t="n">
        <v>46311</v>
      </c>
      <c r="E11" s="13" t="n">
        <v>46309</v>
      </c>
      <c r="F11" s="13" t="n">
        <v>46318</v>
      </c>
      <c r="G11" s="13" t="n">
        <v>46311</v>
      </c>
      <c r="H11" s="13" t="n">
        <v>46315</v>
      </c>
      <c r="I11" s="6" t="inlineStr">
        <is>
          <t>R-G</t>
        </is>
      </c>
    </row>
    <row r="12">
      <c r="A12" s="5" t="inlineStr">
        <is>
          <t>Fri 2026-10-09 17:30 ET</t>
        </is>
      </c>
      <c r="B12" s="12" t="n">
        <v>46307</v>
      </c>
      <c r="C12" s="12" t="n">
        <v>46309</v>
      </c>
      <c r="D12" s="12" t="n">
        <v>46314</v>
      </c>
      <c r="E12" s="12" t="n">
        <v>46310</v>
      </c>
      <c r="F12" s="12" t="n">
        <v>46321</v>
      </c>
      <c r="G12" s="12" t="n">
        <v>46314</v>
      </c>
      <c r="H12" s="12" t="n">
        <v>46316</v>
      </c>
      <c r="I12" s="5" t="inlineStr">
        <is>
          <t>R-H</t>
        </is>
      </c>
    </row>
    <row r="13">
      <c r="A13" s="6" t="inlineStr">
        <is>
          <t>Sat 2026-10-10 11:00 ET</t>
        </is>
      </c>
      <c r="B13" s="13" t="n">
        <v>46307</v>
      </c>
      <c r="C13" s="13" t="n">
        <v>46309</v>
      </c>
      <c r="D13" s="13" t="n">
        <v>46314</v>
      </c>
      <c r="E13" s="13" t="n">
        <v>46310</v>
      </c>
      <c r="F13" s="13" t="n">
        <v>46321</v>
      </c>
      <c r="G13" s="13" t="n">
        <v>46314</v>
      </c>
      <c r="H13" s="13" t="n">
        <v>46316</v>
      </c>
      <c r="I13" s="6" t="inlineStr">
        <is>
          <t>R-I</t>
        </is>
      </c>
    </row>
    <row r="14">
      <c r="A14" s="5" t="inlineStr">
        <is>
          <t>Wed 2026-11-25 16:00 ET</t>
        </is>
      </c>
      <c r="B14" s="12" t="n">
        <v>46351</v>
      </c>
      <c r="C14" s="12" t="n">
        <v>46357</v>
      </c>
      <c r="D14" s="12" t="n">
        <v>46360</v>
      </c>
      <c r="E14" s="12" t="n">
        <v>46358</v>
      </c>
      <c r="F14" s="12" t="n">
        <v>46367</v>
      </c>
      <c r="G14" s="12" t="n">
        <v>46360</v>
      </c>
      <c r="H14" s="12" t="n">
        <v>46364</v>
      </c>
      <c r="I14" s="5" t="inlineStr">
        <is>
          <t>R-J</t>
        </is>
      </c>
    </row>
    <row r="15">
      <c r="A15" s="6" t="inlineStr">
        <is>
          <t>Wed 2026-11-25 17:30 ET</t>
        </is>
      </c>
      <c r="B15" s="13" t="n">
        <v>46356</v>
      </c>
      <c r="C15" s="13" t="n">
        <v>46358</v>
      </c>
      <c r="D15" s="13" t="n">
        <v>46363</v>
      </c>
      <c r="E15" s="13" t="n">
        <v>46359</v>
      </c>
      <c r="F15" s="13" t="n">
        <v>46370</v>
      </c>
      <c r="G15" s="13" t="n">
        <v>46363</v>
      </c>
      <c r="H15" s="13" t="n">
        <v>46365</v>
      </c>
      <c r="I15" s="6" t="inlineStr">
        <is>
          <t>R-K</t>
        </is>
      </c>
    </row>
    <row r="16">
      <c r="A16" s="5" t="inlineStr">
        <is>
          <t>Thu 2026-12-24 10:00 ET</t>
        </is>
      </c>
      <c r="B16" s="12" t="n">
        <v>46380</v>
      </c>
      <c r="C16" s="12" t="n">
        <v>46385</v>
      </c>
      <c r="D16" s="12" t="n">
        <v>46391</v>
      </c>
      <c r="E16" s="12" t="n">
        <v>46386</v>
      </c>
      <c r="F16" s="12" t="n">
        <v>46398</v>
      </c>
      <c r="G16" s="12" t="n">
        <v>46391</v>
      </c>
      <c r="H16" s="12" t="n">
        <v>46393</v>
      </c>
      <c r="I16" s="5" t="inlineStr">
        <is>
          <t>R-L</t>
        </is>
      </c>
    </row>
    <row r="17">
      <c r="A17" s="6" t="inlineStr">
        <is>
          <t>Alt: Thu 2026-10-08 10:00 ET, Columbus Day observed</t>
        </is>
      </c>
      <c r="B17" s="13" t="n">
        <v>46303</v>
      </c>
      <c r="C17" s="13" t="n">
        <v>46308</v>
      </c>
      <c r="D17" s="13" t="inlineStr"/>
      <c r="E17" s="13" t="inlineStr"/>
      <c r="F17" s="13" t="inlineStr"/>
      <c r="G17" s="13" t="inlineStr"/>
      <c r="H17" s="13" t="inlineStr"/>
      <c r="I17" s="6" t="inlineStr">
        <is>
          <t>R-F if OQ-12</t>
        </is>
      </c>
    </row>
    <row r="18">
      <c r="A18" s="5" t="inlineStr">
        <is>
          <t>Alt: Thu 2026-12-24 10:00 ET, Christmas Eve observed</t>
        </is>
      </c>
      <c r="B18" s="12" t="n">
        <v>46384</v>
      </c>
      <c r="C18" s="12" t="n">
        <v>46386</v>
      </c>
      <c r="D18" s="12" t="inlineStr"/>
      <c r="E18" s="12" t="inlineStr"/>
      <c r="F18" s="12" t="inlineStr"/>
      <c r="G18" s="12" t="inlineStr"/>
      <c r="H18" s="12" t="inlineStr"/>
      <c r="I18" s="5" t="inlineStr">
        <is>
          <t>R-L if OQ-12</t>
        </is>
      </c>
    </row>
  </sheetData>
  <autoFilter ref="A5:I1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showGridLines="0" workbookViewId="0">
      <pane ySplit="5" topLeftCell="A6" activePane="bottomLeft" state="frozen"/>
      <selection pane="bottomLeft" activeCell="A1" sqref="A1"/>
    </sheetView>
  </sheetViews>
  <sheetFormatPr baseColWidth="8" defaultRowHeight="15"/>
  <cols>
    <col width="10" customWidth="1" min="1" max="1"/>
    <col width="60" customWidth="1" min="2" max="2"/>
    <col width="60" customWidth="1" min="3" max="3"/>
    <col width="22" customWidth="1" min="4" max="4"/>
    <col width="26" customWidth="1" min="5" max="5"/>
    <col width="10" customWidth="1" min="6" max="6"/>
    <col width="40" customWidth="1" min="7" max="7"/>
  </cols>
  <sheetData>
    <row r="1">
      <c r="A1" s="1" t="inlineStr">
        <is>
          <t>EREQ-2147 UAT workbook: Expedited request option</t>
        </is>
      </c>
    </row>
    <row r="2">
      <c r="A2" s="2" t="inlineStr">
        <is>
          <t>Prepared 2026-09-28 from the EREQ-2147 ticket, Harborline MSA (2023) + Amendment 2 (2026), Tri-County Services Agreement (2024). Due dates from business_days.py.</t>
        </is>
      </c>
    </row>
    <row r="3">
      <c r="A3" s="3" t="inlineStr">
        <is>
          <t>PROVISIONAL: modules, severity rubric and holiday calendar are the SAMPLE reference files. Confirm with Heidy before sign-off (OQ-12).</t>
        </is>
      </c>
    </row>
    <row r="5">
      <c r="A5" s="4" t="inlineStr">
        <is>
          <t>ID</t>
        </is>
      </c>
      <c r="B5" s="4" t="inlineStr">
        <is>
          <t>Question</t>
        </is>
      </c>
      <c r="C5" s="4" t="inlineStr">
        <is>
          <t>Why it matters</t>
        </is>
      </c>
      <c r="D5" s="4" t="inlineStr">
        <is>
          <t>Who should answer</t>
        </is>
      </c>
      <c r="E5" s="4" t="inlineStr">
        <is>
          <t>Blocks cases</t>
        </is>
      </c>
      <c r="F5" s="4" t="inlineStr">
        <is>
          <t>Status</t>
        </is>
      </c>
      <c r="G5" s="4" t="inlineStr">
        <is>
          <t>Answer</t>
        </is>
      </c>
    </row>
    <row r="6">
      <c r="A6" s="5" t="inlineStr">
        <is>
          <t>OQ-1</t>
        </is>
      </c>
      <c r="B6" s="5" t="inlineStr">
        <is>
          <t>When the client's contracted deadline is EARLIER than 2 business days, which due date wins? The ticket says the 2-day clock applies "instead of the client's contracted clock".</t>
        </is>
      </c>
      <c r="C6" s="5" t="inlineStr">
        <is>
          <t>Harborline Amendment 2, Sec. 2.2 requires subpoenas by the return date if earlier. A subpoena with a return date tomorrow would get a LATER due date by being expedited: a contract breach the requestor paid $35 for. Tri-County Sec. 2.3 (court orders "promptly") has the same problem.</t>
        </is>
      </c>
      <c r="D6" s="5" t="inlineStr">
        <is>
          <t>CX (ticket owner) with Client Services</t>
        </is>
      </c>
      <c r="E6" s="5" t="inlineStr">
        <is>
          <t>EREQ-2147-25, EREQ-2147-26</t>
        </is>
      </c>
      <c r="F6" s="10" t="inlineStr">
        <is>
          <t>Open</t>
        </is>
      </c>
      <c r="G6" s="5" t="inlineStr"/>
    </row>
    <row r="7">
      <c r="A7" s="6" t="inlineStr">
        <is>
          <t>OQ-2</t>
        </is>
      </c>
      <c r="B7" s="6" t="inlineStr">
        <is>
          <t>Who is eligible? (a) Can expedite be switched on or off per client, and who can change it? (b) Is it offered to requestors who aren't charged (e.g. the Workers' Compensation Board, state agencies), and if so do they pay $35? (c) What does a requestor see when it is unavailable?</t>
        </is>
      </c>
      <c r="C7" s="6" t="inlineStr">
        <is>
          <t>The ticket has no per-client control, no admin setting and no rule for non-charged requestors. Tri-County Sec. 2.2 gives the Board a 5-day clock and the Board is not a paying requestor.</t>
        </is>
      </c>
      <c r="D7" s="6" t="inlineStr">
        <is>
          <t>CX with Heidy (dev)</t>
        </is>
      </c>
      <c r="E7" s="6" t="inlineStr">
        <is>
          <t>EREQ-2147-07, EREQ-2147-08, EREQ-2147-59, EREQ-2147-60</t>
        </is>
      </c>
      <c r="F7" s="10" t="inlineStr">
        <is>
          <t>Open</t>
        </is>
      </c>
      <c r="G7" s="6" t="inlineStr"/>
    </row>
    <row r="8">
      <c r="A8" s="5" t="inlineStr">
        <is>
          <t>OQ-3</t>
        </is>
      </c>
      <c r="B8" s="5" t="inlineStr">
        <is>
          <t>If ClaimFox misses the 2-day expedited due date, is the $35 refunded, credited, or kept? Automatically or on request?</t>
        </is>
      </c>
      <c r="C8" s="5" t="inlineStr">
        <is>
          <t>The ticket sells a paid promise with no remedy. Customer service will get this question on the first late request.</t>
        </is>
      </c>
      <c r="D8" s="5" t="inlineStr">
        <is>
          <t>CX with Finance</t>
        </is>
      </c>
      <c r="E8" s="5" t="inlineStr">
        <is>
          <t>EREQ-2147-46</t>
        </is>
      </c>
      <c r="F8" s="10" t="inlineStr">
        <is>
          <t>Open</t>
        </is>
      </c>
      <c r="G8" s="5" t="inlineStr"/>
    </row>
    <row r="9">
      <c r="A9" s="6" t="inlineStr">
        <is>
          <t>OQ-4</t>
        </is>
      </c>
      <c r="B9" s="6" t="inlineStr">
        <is>
          <t>Which clock defines a MISSED SLA for an expedited request in the SLA report and client reports: the 2-day expedite clock or the client's contracted clock?</t>
        </is>
      </c>
      <c r="C9" s="6" t="inlineStr">
        <is>
          <t>Harborline Amendment 2, Sec. 2.4: a 2% service credit if more than 5% of requests miss the 5-day turnaround in a month. Counting expedite misses against 2 days could overstate misses in the carrier report (MSA Sec. 2.3); ignoring them hides broken promises to requestors.</t>
        </is>
      </c>
      <c r="D9" s="6" t="inlineStr">
        <is>
          <t>Client Services (account owners) with the reporting owner</t>
        </is>
      </c>
      <c r="E9" s="6" t="inlineStr">
        <is>
          <t>EREQ-2147-56</t>
        </is>
      </c>
      <c r="F9" s="10" t="inlineStr">
        <is>
          <t>Open</t>
        </is>
      </c>
      <c r="G9" s="6" t="inlineStr"/>
    </row>
    <row r="10">
      <c r="A10" s="5" t="inlineStr">
        <is>
          <t>OQ-5</t>
        </is>
      </c>
      <c r="B10" s="5" t="inlineStr">
        <is>
          <t>If an expedited request is cancelled, is the $35 refunded or removed from the invoice? Does it depend on whether work has started?</t>
        </is>
      </c>
      <c r="C10" s="5" t="inlineStr">
        <is>
          <t>Billing regression always tests cancellations; the ticket gives no rule.</t>
        </is>
      </c>
      <c r="D10" s="5" t="inlineStr">
        <is>
          <t>Finance with CX</t>
        </is>
      </c>
      <c r="E10" s="5" t="inlineStr">
        <is>
          <t>EREQ-2147-45</t>
        </is>
      </c>
      <c r="F10" s="10" t="inlineStr">
        <is>
          <t>Open</t>
        </is>
      </c>
      <c r="G10" s="5" t="inlineStr"/>
    </row>
    <row r="11">
      <c r="A11" s="6" t="inlineStr">
        <is>
          <t>OQ-6</t>
        </is>
      </c>
      <c r="B11" s="6" t="inlineStr">
        <is>
          <t>Does the 2-day clock pause, restart or keep running while a request is deficient (deficiency notice) or on hold, e.g. a Harborline adverse-carrier request waiting for the claim rep's written approval (MSA Sec. 3.2)?</t>
        </is>
      </c>
      <c r="C11" s="6" t="inlineStr">
        <is>
          <t>ClaimFox doesn't control how long the requestor or the carrier takes. A running clock means guaranteed misses (and refund questions, OQ-3).</t>
        </is>
      </c>
      <c r="D11" s="6" t="inlineStr">
        <is>
          <t>CX with Operations</t>
        </is>
      </c>
      <c r="E11" s="6" t="inlineStr">
        <is>
          <t>EREQ-2147-12, EREQ-2147-35</t>
        </is>
      </c>
      <c r="F11" s="10" t="inlineStr">
        <is>
          <t>Open</t>
        </is>
      </c>
      <c r="G11" s="6" t="inlineStr"/>
    </row>
    <row r="12">
      <c r="A12" s="5" t="inlineStr">
        <is>
          <t>OQ-7</t>
        </is>
      </c>
      <c r="B12" s="5" t="inlineStr">
        <is>
          <t>What event meets the expedited due date: records ready for release, invoice issued, or files released? Portal Delivery only releases after payment, and payment timing is up to the requestor.</t>
        </is>
      </c>
      <c r="C12" s="5" t="inlineStr">
        <is>
          <t>Decides whether a request is on time in reports and whether a refund (OQ-3) is owed.</t>
        </is>
      </c>
      <c r="D12" s="5" t="inlineStr">
        <is>
          <t>CX with Operations</t>
        </is>
      </c>
      <c r="E12" s="5" t="inlineStr">
        <is>
          <t>EREQ-2147-53</t>
        </is>
      </c>
      <c r="F12" s="10" t="inlineStr">
        <is>
          <t>Open</t>
        </is>
      </c>
      <c r="G12" s="5" t="inlineStr"/>
    </row>
    <row r="13">
      <c r="A13" s="6" t="inlineStr">
        <is>
          <t>OQ-8</t>
        </is>
      </c>
      <c r="B13" s="6" t="inlineStr">
        <is>
          <t>Can expedite be added or removed after submission, by the requestor in the portal or by a ClaimFox associate (e.g. a request that came in by phone, fax or mail)? If added later, when does the 2-day clock start?</t>
        </is>
      </c>
      <c r="C13" s="6" t="inlineStr">
        <is>
          <t>The ticket only covers the portal intake form. Associates will be asked to upgrade requests on day one.</t>
        </is>
      </c>
      <c r="D13" s="6" t="inlineStr">
        <is>
          <t>CX with Heidy (dev)</t>
        </is>
      </c>
      <c r="E13" s="6" t="inlineStr">
        <is>
          <t>EREQ-2147-09, EREQ-2147-11</t>
        </is>
      </c>
      <c r="F13" s="10" t="inlineStr">
        <is>
          <t>Open</t>
        </is>
      </c>
      <c r="G13" s="6" t="inlineStr"/>
    </row>
    <row r="14">
      <c r="A14" s="5" t="inlineStr">
        <is>
          <t>OQ-9</t>
        </is>
      </c>
      <c r="B14" s="5" t="inlineStr">
        <is>
          <t>How does the queue order (a) expedited requests among themselves and (b) an expedited request against a non-expedited one with an EARLIER due date (e.g. a subpoena due tomorrow)?</t>
        </is>
      </c>
      <c r="C14" s="5" t="inlineStr">
        <is>
          <t>"Top of the queue" taken literally can push a request due tomorrow below one due in two days, which can cause a contract miss.</t>
        </is>
      </c>
      <c r="D14" s="5" t="inlineStr">
        <is>
          <t>Operations lead</t>
        </is>
      </c>
      <c r="E14" s="5" t="inlineStr">
        <is>
          <t>EREQ-2147-31, EREQ-2147-32</t>
        </is>
      </c>
      <c r="F14" s="10" t="inlineStr">
        <is>
          <t>Open</t>
        </is>
      </c>
      <c r="G14" s="5" t="inlineStr"/>
    </row>
    <row r="15">
      <c r="A15" s="6" t="inlineStr">
        <is>
          <t>OQ-10</t>
        </is>
      </c>
      <c r="B15" s="6" t="inlineStr">
        <is>
          <t>Is the $35 fee allowed and taxable in every state on the fee schedule? Do any state record-fee caps limit it?</t>
        </is>
      </c>
      <c r="C15" s="6" t="inlineStr">
        <is>
          <t>Billing applies fee schedules by state. A fee the state doesn't allow is a refund and compliance problem across many invoices.</t>
        </is>
      </c>
      <c r="D15" s="6" t="inlineStr">
        <is>
          <t>Finance with Legal</t>
        </is>
      </c>
      <c r="E15" s="6" t="inlineStr">
        <is>
          <t>EREQ-2147-44</t>
        </is>
      </c>
      <c r="F15" s="10" t="inlineStr">
        <is>
          <t>Open</t>
        </is>
      </c>
      <c r="G15" s="6" t="inlineStr"/>
    </row>
    <row r="16">
      <c r="A16" s="5" t="inlineStr">
        <is>
          <t>OQ-11</t>
        </is>
      </c>
      <c r="B16" s="5" t="inlineStr">
        <is>
          <t>Do Harborline and Tri-County need to agree to ClaimFox charging their requestors an expedite fee and running a different clock on their files? Should the Expedited column appear in carrier-facing reports (Harborline weekly SLA report, Tri-County monthly activity report)?</t>
        </is>
      </c>
      <c r="C16" s="5" t="inlineStr">
        <is>
          <t>Neither contract mentions requestor fees or expedite. Both require service-level reporting to the client.</t>
        </is>
      </c>
      <c r="D16" s="5" t="inlineStr">
        <is>
          <t>Client Services (account owners)</t>
        </is>
      </c>
      <c r="E16" s="5" t="inlineStr">
        <is>
          <t>EREQ-2147-58</t>
        </is>
      </c>
      <c r="F16" s="10" t="inlineStr">
        <is>
          <t>Open</t>
        </is>
      </c>
      <c r="G16" s="5" t="inlineStr"/>
    </row>
    <row r="17">
      <c r="A17" s="6" t="inlineStr">
        <is>
          <t>OQ-12</t>
        </is>
      </c>
      <c r="B17" s="6" t="inlineStr">
        <is>
          <t>Which holidays does ClaimFox observe, and is 5:00 pm Eastern the cutoff for expedited requests too? The SAMPLE calendar treats Columbus Day (2026-10-12), Veterans Day (2026-11-11) and Christmas Eve (2026-12-24) as business days.</t>
        </is>
      </c>
      <c r="C17" s="6" t="inlineStr">
        <is>
          <t>Changes the expected due date in the weekend and holiday cases. On a 2-day clock one holiday is a 50% error.</t>
        </is>
      </c>
      <c r="D17" s="6" t="inlineStr">
        <is>
          <t>Heidy (dev) with Operations</t>
        </is>
      </c>
      <c r="E17" s="6" t="inlineStr">
        <is>
          <t>EREQ-2147-18, EREQ-2147-24</t>
        </is>
      </c>
      <c r="F17" s="10" t="inlineStr">
        <is>
          <t>Open</t>
        </is>
      </c>
      <c r="G17" s="6" t="inlineStr"/>
    </row>
    <row r="18">
      <c r="A18" s="5" t="inlineStr">
        <is>
          <t>OQ-13</t>
        </is>
      </c>
      <c r="B18" s="5" t="inlineStr">
        <is>
          <t>If an expedited request duplicates an open non-expedited request on the same claim from the same requestor, what happens: blocked as a duplicate, or the open request is upgraded?</t>
        </is>
      </c>
      <c r="C18" s="5" t="inlineStr">
        <is>
          <t>Duplicate detection is a standard intake regression check. Without a rule the requestor could pay for a request that never runs.</t>
        </is>
      </c>
      <c r="D18" s="5" t="inlineStr">
        <is>
          <t>CX with Heidy (dev)</t>
        </is>
      </c>
      <c r="E18" s="5" t="inlineStr">
        <is>
          <t>EREQ-2147-06</t>
        </is>
      </c>
      <c r="F18" s="10" t="inlineStr">
        <is>
          <t>Open</t>
        </is>
      </c>
      <c r="G18" s="5" t="inlineStr"/>
    </row>
  </sheetData>
  <autoFilter ref="A5:G18"/>
  <dataValidations count="1">
    <dataValidation sqref="F6:F205" showDropDown="0" showInputMessage="0" showErrorMessage="0" allowBlank="1" type="list">
      <formula1>"Open,Answered"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8"/>
  <sheetViews>
    <sheetView showGridLines="0" workbookViewId="0">
      <pane ySplit="5" topLeftCell="A6" activePane="bottomLeft" state="frozen"/>
      <selection pane="bottomLeft" activeCell="A1" sqref="A1"/>
    </sheetView>
  </sheetViews>
  <sheetFormatPr baseColWidth="8" defaultRowHeight="15"/>
  <cols>
    <col width="14" customWidth="1" min="1" max="1"/>
    <col width="10" customWidth="1" min="2" max="2"/>
    <col width="45" customWidth="1" min="3" max="3"/>
    <col width="70" customWidth="1" min="4" max="4"/>
    <col width="11" customWidth="1" min="5" max="5"/>
  </cols>
  <sheetData>
    <row r="1">
      <c r="A1" s="1" t="inlineStr">
        <is>
          <t>EREQ-2147 UAT workbook: Expedited request option</t>
        </is>
      </c>
    </row>
    <row r="2">
      <c r="A2" s="2" t="inlineStr">
        <is>
          <t>Prepared 2026-09-28 from the EREQ-2147 ticket, Harborline MSA (2023) + Amendment 2 (2026), Tri-County Services Agreement (2024). Due dates from business_days.py.</t>
        </is>
      </c>
    </row>
    <row r="3">
      <c r="A3" s="3" t="inlineStr">
        <is>
          <t>PROVISIONAL: modules, severity rubric and holiday calendar are the SAMPLE reference files. Confirm with Heidy before sign-off (OQ-12).</t>
        </is>
      </c>
    </row>
    <row r="5">
      <c r="A5" s="4" t="inlineStr">
        <is>
          <t>Type</t>
        </is>
      </c>
      <c r="B5" s="4" t="inlineStr">
        <is>
          <t>ID</t>
        </is>
      </c>
      <c r="C5" s="4" t="inlineStr">
        <is>
          <t>Name / value</t>
        </is>
      </c>
      <c r="D5" s="4" t="inlineStr">
        <is>
          <t>Details</t>
        </is>
      </c>
      <c r="E5" s="4" t="inlineStr">
        <is>
          <t>Time zone</t>
        </is>
      </c>
    </row>
    <row r="6">
      <c r="A6" s="5" t="inlineStr">
        <is>
          <t>Requestor</t>
        </is>
      </c>
      <c r="B6" s="5" t="inlineStr">
        <is>
          <t>RQ-01</t>
        </is>
      </c>
      <c r="C6" s="5" t="inlineStr">
        <is>
          <t>Marlow &amp; Pike LLP (TEST)</t>
        </is>
      </c>
      <c r="D6" s="5" t="inlineStr">
        <is>
          <t>Plaintiff firm, charged. Portal login rq01.test@example.com</t>
        </is>
      </c>
      <c r="E6" s="5" t="inlineStr">
        <is>
          <t>Eastern</t>
        </is>
      </c>
    </row>
    <row r="7">
      <c r="A7" s="6" t="inlineStr">
        <is>
          <t>Requestor</t>
        </is>
      </c>
      <c r="B7" s="6" t="inlineStr">
        <is>
          <t>RQ-02</t>
        </is>
      </c>
      <c r="C7" s="6" t="inlineStr">
        <is>
          <t>Brightline Record Retrieval (TEST)</t>
        </is>
      </c>
      <c r="D7" s="6" t="inlineStr">
        <is>
          <t>Record retrieval company, charged. rq02.test@example.com</t>
        </is>
      </c>
      <c r="E7" s="6" t="inlineStr">
        <is>
          <t>Eastern</t>
        </is>
      </c>
    </row>
    <row r="8">
      <c r="A8" s="5" t="inlineStr">
        <is>
          <t>Requestor</t>
        </is>
      </c>
      <c r="B8" s="5" t="inlineStr">
        <is>
          <t>RQ-03</t>
        </is>
      </c>
      <c r="C8" s="5" t="inlineStr">
        <is>
          <t>Coastal Ridge Insurance (TEST)</t>
        </is>
      </c>
      <c r="D8" s="5" t="inlineStr">
        <is>
          <t>Adverse carrier (Harborline MSA 3.2 applies). rq03.test@example.com</t>
        </is>
      </c>
      <c r="E8" s="5" t="inlineStr">
        <is>
          <t>Eastern</t>
        </is>
      </c>
    </row>
    <row r="9">
      <c r="A9" s="6" t="inlineStr">
        <is>
          <t>Requestor</t>
        </is>
      </c>
      <c r="B9" s="6" t="inlineStr">
        <is>
          <t>RQ-04</t>
        </is>
      </c>
      <c r="C9" s="6" t="inlineStr">
        <is>
          <t>State Workers' Compensation Board (TEST)</t>
        </is>
      </c>
      <c r="D9" s="6" t="inlineStr">
        <is>
          <t>State agency, not charged (Tri-County 2.2). rq04.test@example.com</t>
        </is>
      </c>
      <c r="E9" s="6" t="inlineStr">
        <is>
          <t>Eastern</t>
        </is>
      </c>
    </row>
    <row r="10">
      <c r="A10" s="5" t="inlineStr">
        <is>
          <t>Requestor</t>
        </is>
      </c>
      <c r="B10" s="5" t="inlineStr">
        <is>
          <t>RQ-05</t>
        </is>
      </c>
      <c r="C10" s="5" t="inlineStr">
        <is>
          <t>Ferris Legal Group (TEST)</t>
        </is>
      </c>
      <c r="D10" s="5" t="inlineStr">
        <is>
          <t>Plaintiff firm, charged, profile time zone Pacific. rq06.test@example.com</t>
        </is>
      </c>
      <c r="E10" s="5" t="inlineStr">
        <is>
          <t>Pacific</t>
        </is>
      </c>
    </row>
    <row r="11">
      <c r="A11" s="6" t="inlineStr">
        <is>
          <t>Claim</t>
        </is>
      </c>
      <c r="B11" s="6" t="inlineStr">
        <is>
          <t>CL-01</t>
        </is>
      </c>
      <c r="C11" s="6" t="inlineStr">
        <is>
          <t>Harborline HMT-900001, claimant "Test Claimant Alpha", auto liability</t>
        </is>
      </c>
      <c r="D11" s="6" t="inlineStr">
        <is>
          <t>File (40 pp): SIU note p.4, reserve worksheet p.7, mental health note p.9; SSN, DOB, bank account; other driver's DL, plate, VIN</t>
        </is>
      </c>
      <c r="E11" s="6" t="inlineStr"/>
    </row>
    <row r="12">
      <c r="A12" s="5" t="inlineStr">
        <is>
          <t>Claim</t>
        </is>
      </c>
      <c r="B12" s="5" t="inlineStr">
        <is>
          <t>CL-02</t>
        </is>
      </c>
      <c r="C12" s="5" t="inlineStr">
        <is>
          <t>Harborline HMT-900002, claimant "Test Claimant Bravo"</t>
        </is>
      </c>
      <c r="D12" s="5" t="inlineStr">
        <is>
          <t>Standard file, used for subpoenas</t>
        </is>
      </c>
      <c r="E12" s="5" t="inlineStr"/>
    </row>
    <row r="13">
      <c r="A13" s="6" t="inlineStr">
        <is>
          <t>Claim</t>
        </is>
      </c>
      <c r="B13" s="6" t="inlineStr">
        <is>
          <t>CL-03</t>
        </is>
      </c>
      <c r="C13" s="6" t="inlineStr">
        <is>
          <t>Tri-County TCT-800001, claimant "Test Claimant Charlie", workers' comp</t>
        </is>
      </c>
      <c r="D13" s="6" t="inlineStr">
        <is>
          <t>File: psychiatric note p.3, 42 CFR Part 2 record p.5, HIV lab p.8</t>
        </is>
      </c>
      <c r="E13" s="6" t="inlineStr"/>
    </row>
    <row r="14">
      <c r="A14" s="5" t="inlineStr">
        <is>
          <t>Claim</t>
        </is>
      </c>
      <c r="B14" s="5" t="inlineStr">
        <is>
          <t>CL-04</t>
        </is>
      </c>
      <c r="C14" s="5" t="inlineStr">
        <is>
          <t>Tri-County TCT-800002, claimant "Test Claimant Delta"</t>
        </is>
      </c>
      <c r="D14" s="5" t="inlineStr">
        <is>
          <t>Standard file</t>
        </is>
      </c>
      <c r="E14" s="5" t="inlineStr"/>
    </row>
    <row r="15">
      <c r="A15" s="6" t="inlineStr">
        <is>
          <t>File</t>
        </is>
      </c>
      <c r="B15" s="6" t="inlineStr">
        <is>
          <t>F-01</t>
        </is>
      </c>
      <c r="C15" s="6" t="inlineStr">
        <is>
          <t>authorization_general_TEST.pdf</t>
        </is>
      </c>
      <c r="D15" s="6" t="inlineStr">
        <is>
          <t>General authorization, does not name mental health</t>
        </is>
      </c>
      <c r="E15" s="6" t="inlineStr"/>
    </row>
    <row r="16">
      <c r="A16" s="5" t="inlineStr">
        <is>
          <t>File</t>
        </is>
      </c>
      <c r="B16" s="5" t="inlineStr">
        <is>
          <t>F-02</t>
        </is>
      </c>
      <c r="C16" s="5" t="inlineStr">
        <is>
          <t>authorization_mental_health_TEST.pdf</t>
        </is>
      </c>
      <c r="D16" s="5" t="inlineStr">
        <is>
          <t>Names mental health records</t>
        </is>
      </c>
      <c r="E16" s="5" t="inlineStr"/>
    </row>
    <row r="17">
      <c r="A17" s="6" t="inlineStr">
        <is>
          <t>File</t>
        </is>
      </c>
      <c r="B17" s="6" t="inlineStr">
        <is>
          <t>F-03</t>
        </is>
      </c>
      <c r="C17" s="6" t="inlineStr">
        <is>
          <t>subpoena_return_2026-10-06_TEST.pdf</t>
        </is>
      </c>
      <c r="D17" s="6" t="inlineStr">
        <is>
          <t>Subpoena, return date Tue 2026-10-06</t>
        </is>
      </c>
      <c r="E17" s="6" t="inlineStr"/>
    </row>
    <row r="18">
      <c r="A18" s="5" t="inlineStr">
        <is>
          <t>File</t>
        </is>
      </c>
      <c r="B18" s="5" t="inlineStr">
        <is>
          <t>F-04</t>
        </is>
      </c>
      <c r="C18" s="5" t="inlineStr">
        <is>
          <t>subpoena_return_2026-10-20_TEST.pdf</t>
        </is>
      </c>
      <c r="D18" s="5" t="inlineStr">
        <is>
          <t>Subpoena, return date Tue 2026-10-20</t>
        </is>
      </c>
      <c r="E18" s="5" t="inlineStr"/>
    </row>
    <row r="19">
      <c r="A19" s="6" t="inlineStr">
        <is>
          <t>File</t>
        </is>
      </c>
      <c r="B19" s="6" t="inlineStr">
        <is>
          <t>F-05</t>
        </is>
      </c>
      <c r="C19" s="6" t="inlineStr">
        <is>
          <t>court_order_TCT-800001_TEST.pdf</t>
        </is>
      </c>
      <c r="D19" s="6" t="inlineStr">
        <is>
          <t>Court order, Tri-County</t>
        </is>
      </c>
      <c r="E19" s="6" t="inlineStr"/>
    </row>
    <row r="20">
      <c r="A20" s="5" t="inlineStr">
        <is>
          <t>File</t>
        </is>
      </c>
      <c r="B20" s="5" t="inlineStr">
        <is>
          <t>F-06</t>
        </is>
      </c>
      <c r="C20" s="5" t="inlineStr">
        <is>
          <t>authorization_wc_general_TEST.pdf</t>
        </is>
      </c>
      <c r="D20" s="5" t="inlineStr">
        <is>
          <t>Workers' comp authorization, names no protected categories</t>
        </is>
      </c>
      <c r="E20" s="5" t="inlineStr"/>
    </row>
    <row r="21">
      <c r="A21" s="6" t="inlineStr">
        <is>
          <t>File</t>
        </is>
      </c>
      <c r="B21" s="6" t="inlineStr">
        <is>
          <t>F-07</t>
        </is>
      </c>
      <c r="C21" s="6" t="inlineStr">
        <is>
          <t>wcb_request_TEST.pdf</t>
        </is>
      </c>
      <c r="D21" s="6" t="inlineStr">
        <is>
          <t>Board request letter</t>
        </is>
      </c>
      <c r="E21" s="6" t="inlineStr"/>
    </row>
    <row r="22">
      <c r="A22" s="5" t="inlineStr">
        <is>
          <t>File</t>
        </is>
      </c>
      <c r="B22" s="5" t="inlineStr">
        <is>
          <t>F-08</t>
        </is>
      </c>
      <c r="C22" s="5" t="inlineStr">
        <is>
          <t>not_allowed_TEST.exe</t>
        </is>
      </c>
      <c r="D22" s="5" t="inlineStr">
        <is>
          <t>Disallowed file type</t>
        </is>
      </c>
      <c r="E22" s="5" t="inlineStr"/>
    </row>
    <row r="23">
      <c r="A23" s="6" t="inlineStr">
        <is>
          <t>File</t>
        </is>
      </c>
      <c r="B23" s="6" t="inlineStr">
        <is>
          <t>F-09</t>
        </is>
      </c>
      <c r="C23" s="6" t="inlineStr">
        <is>
          <t>oversize_TEST.pdf</t>
        </is>
      </c>
      <c r="D23" s="6" t="inlineStr">
        <is>
          <t>One MB over the portal's configured upload limit (confirm the limit with Heidy)</t>
        </is>
      </c>
      <c r="E23" s="6" t="inlineStr"/>
    </row>
    <row r="24">
      <c r="A24" s="5" t="inlineStr">
        <is>
          <t>User</t>
        </is>
      </c>
      <c r="B24" s="5" t="inlineStr">
        <is>
          <t>U-01</t>
        </is>
      </c>
      <c r="C24" s="5" t="inlineStr">
        <is>
          <t>Reviewer (TEST)</t>
        </is>
      </c>
      <c r="D24" s="5" t="inlineStr">
        <is>
          <t>Review queue access</t>
        </is>
      </c>
      <c r="E24" s="5" t="inlineStr"/>
    </row>
    <row r="25">
      <c r="A25" s="6" t="inlineStr">
        <is>
          <t>User</t>
        </is>
      </c>
      <c r="B25" s="6" t="inlineStr">
        <is>
          <t>U-02</t>
        </is>
      </c>
      <c r="C25" s="6" t="inlineStr">
        <is>
          <t>Admin (TEST)</t>
        </is>
      </c>
      <c r="D25" s="6" t="inlineStr">
        <is>
          <t>Admin &amp; Configuration access; can record claim rep approvals</t>
        </is>
      </c>
      <c r="E25" s="6" t="inlineStr"/>
    </row>
    <row r="26">
      <c r="A26" s="5" t="inlineStr">
        <is>
          <t>User</t>
        </is>
      </c>
      <c r="B26" s="5" t="inlineStr">
        <is>
          <t>U-03</t>
        </is>
      </c>
      <c r="C26" s="5" t="inlineStr">
        <is>
          <t>CS associate (TEST)</t>
        </is>
      </c>
      <c r="D26" s="5" t="inlineStr">
        <is>
          <t>Intake Processing access</t>
        </is>
      </c>
      <c r="E26" s="5" t="inlineStr"/>
    </row>
    <row r="27">
      <c r="A27" s="6" t="inlineStr">
        <is>
          <t>User</t>
        </is>
      </c>
      <c r="B27" s="6" t="inlineStr">
        <is>
          <t>U-04</t>
        </is>
      </c>
      <c r="C27" s="6" t="inlineStr">
        <is>
          <t>Reviewer 2 (TEST)</t>
        </is>
      </c>
      <c r="D27" s="6" t="inlineStr">
        <is>
          <t>Second reviewer for reassignment</t>
        </is>
      </c>
      <c r="E27" s="6" t="inlineStr"/>
    </row>
    <row r="28">
      <c r="A28" s="5" t="inlineStr">
        <is>
          <t>Test request</t>
        </is>
      </c>
      <c r="B28" s="5" t="inlineStr">
        <is>
          <t>R-A</t>
        </is>
      </c>
      <c r="C28" s="5" t="inlineStr">
        <is>
          <t>RQ-01 / CL-01 / F-01 / Expedite=Yes</t>
        </is>
      </c>
      <c r="D28" s="5" t="inlineStr">
        <is>
          <t>Received Mon 2026-10-05 09:00 ET. Main happy-path request</t>
        </is>
      </c>
      <c r="E28" s="5" t="inlineStr"/>
    </row>
    <row r="29">
      <c r="A29" s="6" t="inlineStr">
        <is>
          <t>Test request</t>
        </is>
      </c>
      <c r="B29" s="6" t="inlineStr">
        <is>
          <t>R-B</t>
        </is>
      </c>
      <c r="C29" s="6" t="inlineStr">
        <is>
          <t>RQ-01 / CL-01 / F-01 / Expedite=No</t>
        </is>
      </c>
      <c r="D29" s="6" t="inlineStr">
        <is>
          <t>Received Mon 2026-10-05 09:00 ET. Control for R-A: identical but not expedited</t>
        </is>
      </c>
      <c r="E29" s="6" t="inlineStr"/>
    </row>
    <row r="30">
      <c r="A30" s="5" t="inlineStr">
        <is>
          <t>Test request</t>
        </is>
      </c>
      <c r="B30" s="5" t="inlineStr">
        <is>
          <t>R-C</t>
        </is>
      </c>
      <c r="C30" s="5" t="inlineStr">
        <is>
          <t>RQ-02 / CL-01 / F-01 / Expedite=Yes</t>
        </is>
      </c>
      <c r="D30" s="5" t="inlineStr">
        <is>
          <t>Received Mon 2026-10-05 17:00 ET. Exactly at cutoff</t>
        </is>
      </c>
      <c r="E30" s="5" t="inlineStr"/>
    </row>
    <row r="31">
      <c r="A31" s="6" t="inlineStr">
        <is>
          <t>Test request</t>
        </is>
      </c>
      <c r="B31" s="6" t="inlineStr">
        <is>
          <t>R-D</t>
        </is>
      </c>
      <c r="C31" s="6" t="inlineStr">
        <is>
          <t>RQ-02 / CL-01 / F-01 / Expedite=Yes</t>
        </is>
      </c>
      <c r="D31" s="6" t="inlineStr">
        <is>
          <t>Received Mon 2026-10-05 17:01 ET. One minute after cutoff</t>
        </is>
      </c>
      <c r="E31" s="6" t="inlineStr"/>
    </row>
    <row r="32">
      <c r="A32" s="5" t="inlineStr">
        <is>
          <t>Test request</t>
        </is>
      </c>
      <c r="B32" s="5" t="inlineStr">
        <is>
          <t>R-E</t>
        </is>
      </c>
      <c r="C32" s="5" t="inlineStr">
        <is>
          <t>RQ-05 / CL-01 / F-01 / Expedite=Yes</t>
        </is>
      </c>
      <c r="D32" s="5" t="inlineStr">
        <is>
          <t>Received Mon 2026-10-05 18:00 ET. Submitted 15:00 Pacific = 18:00 Eastern</t>
        </is>
      </c>
      <c r="E32" s="5" t="inlineStr"/>
    </row>
    <row r="33">
      <c r="A33" s="6" t="inlineStr">
        <is>
          <t>Test request</t>
        </is>
      </c>
      <c r="B33" s="6" t="inlineStr">
        <is>
          <t>R-F</t>
        </is>
      </c>
      <c r="C33" s="6" t="inlineStr">
        <is>
          <t>RQ-01 / CL-01 / F-01 / Expedite=Yes</t>
        </is>
      </c>
      <c r="D33" s="6" t="inlineStr">
        <is>
          <t>Received Thu 2026-10-08 10:00 ET. Clock crosses a weekend and Columbus Day</t>
        </is>
      </c>
      <c r="E33" s="6" t="inlineStr"/>
    </row>
    <row r="34">
      <c r="A34" s="5" t="inlineStr">
        <is>
          <t>Test request</t>
        </is>
      </c>
      <c r="B34" s="5" t="inlineStr">
        <is>
          <t>R-G</t>
        </is>
      </c>
      <c r="C34" s="5" t="inlineStr">
        <is>
          <t>RQ-01 / CL-01 / F-01 / Expedite=Yes</t>
        </is>
      </c>
      <c r="D34" s="5" t="inlineStr">
        <is>
          <t>Received Fri 2026-10-09 16:59 ET. Friday before cutoff</t>
        </is>
      </c>
      <c r="E34" s="5" t="inlineStr"/>
    </row>
    <row r="35">
      <c r="A35" s="6" t="inlineStr">
        <is>
          <t>Test request</t>
        </is>
      </c>
      <c r="B35" s="6" t="inlineStr">
        <is>
          <t>R-H</t>
        </is>
      </c>
      <c r="C35" s="6" t="inlineStr">
        <is>
          <t>RQ-01 / CL-01 / F-01 / Expedite=Yes</t>
        </is>
      </c>
      <c r="D35" s="6" t="inlineStr">
        <is>
          <t>Received Fri 2026-10-09 17:30 ET. Friday after cutoff</t>
        </is>
      </c>
      <c r="E35" s="6" t="inlineStr"/>
    </row>
    <row r="36">
      <c r="A36" s="5" t="inlineStr">
        <is>
          <t>Test request</t>
        </is>
      </c>
      <c r="B36" s="5" t="inlineStr">
        <is>
          <t>R-I</t>
        </is>
      </c>
      <c r="C36" s="5" t="inlineStr">
        <is>
          <t>RQ-01 / CL-01 / F-01 / Expedite=Yes</t>
        </is>
      </c>
      <c r="D36" s="5" t="inlineStr">
        <is>
          <t>Received Sat 2026-10-10 11:00 ET. Saturday</t>
        </is>
      </c>
      <c r="E36" s="5" t="inlineStr"/>
    </row>
    <row r="37">
      <c r="A37" s="6" t="inlineStr">
        <is>
          <t>Test request</t>
        </is>
      </c>
      <c r="B37" s="6" t="inlineStr">
        <is>
          <t>R-J</t>
        </is>
      </c>
      <c r="C37" s="6" t="inlineStr">
        <is>
          <t>RQ-01 / CL-01 / F-01 / Expedite=Yes</t>
        </is>
      </c>
      <c r="D37" s="6" t="inlineStr">
        <is>
          <t>Received Wed 2026-11-25 16:00 ET. Day before Thanksgiving (clock override)</t>
        </is>
      </c>
      <c r="E37" s="6" t="inlineStr"/>
    </row>
    <row r="38">
      <c r="A38" s="5" t="inlineStr">
        <is>
          <t>Test request</t>
        </is>
      </c>
      <c r="B38" s="5" t="inlineStr">
        <is>
          <t>R-K</t>
        </is>
      </c>
      <c r="C38" s="5" t="inlineStr">
        <is>
          <t>RQ-01 / CL-01 / F-01 / Expedite=Yes</t>
        </is>
      </c>
      <c r="D38" s="5" t="inlineStr">
        <is>
          <t>Received Wed 2026-11-25 17:30 ET. Day before Thanksgiving, after cutoff (clock override)</t>
        </is>
      </c>
      <c r="E38" s="5" t="inlineStr"/>
    </row>
    <row r="39">
      <c r="A39" s="6" t="inlineStr">
        <is>
          <t>Test request</t>
        </is>
      </c>
      <c r="B39" s="6" t="inlineStr">
        <is>
          <t>R-L</t>
        </is>
      </c>
      <c r="C39" s="6" t="inlineStr">
        <is>
          <t>RQ-01 / CL-01 / F-01 / Expedite=Yes</t>
        </is>
      </c>
      <c r="D39" s="6" t="inlineStr">
        <is>
          <t>Received Thu 2026-12-24 10:00 ET. Christmas Eve (clock override)</t>
        </is>
      </c>
      <c r="E39" s="6" t="inlineStr"/>
    </row>
    <row r="40">
      <c r="A40" s="5" t="inlineStr">
        <is>
          <t>Test request</t>
        </is>
      </c>
      <c r="B40" s="5" t="inlineStr">
        <is>
          <t>R-M</t>
        </is>
      </c>
      <c r="C40" s="5" t="inlineStr">
        <is>
          <t>RQ-01 / CL-02 / F-03 / Expedite=Yes</t>
        </is>
      </c>
      <c r="D40" s="5" t="inlineStr">
        <is>
          <t>Received Mon 2026-10-05 09:00 ET. Harborline subpoena, return date 2026-10-06</t>
        </is>
      </c>
      <c r="E40" s="5" t="inlineStr"/>
    </row>
    <row r="41">
      <c r="A41" s="6" t="inlineStr">
        <is>
          <t>Test request</t>
        </is>
      </c>
      <c r="B41" s="6" t="inlineStr">
        <is>
          <t>R-N</t>
        </is>
      </c>
      <c r="C41" s="6" t="inlineStr">
        <is>
          <t>RQ-01 / CL-02 / F-04 / Expedite=Yes</t>
        </is>
      </c>
      <c r="D41" s="6" t="inlineStr">
        <is>
          <t>Received Mon 2026-10-05 09:00 ET. Harborline subpoena, return date 2026-10-20</t>
        </is>
      </c>
      <c r="E41" s="6" t="inlineStr"/>
    </row>
    <row r="42">
      <c r="A42" s="5" t="inlineStr">
        <is>
          <t>Test request</t>
        </is>
      </c>
      <c r="B42" s="5" t="inlineStr">
        <is>
          <t>R-O</t>
        </is>
      </c>
      <c r="C42" s="5" t="inlineStr">
        <is>
          <t>RQ-01 / CL-02 / F-04 / Expedite=No</t>
        </is>
      </c>
      <c r="D42" s="5" t="inlineStr">
        <is>
          <t>Received Mon 2026-10-05 09:00 ET. Control for R-N</t>
        </is>
      </c>
      <c r="E42" s="5" t="inlineStr"/>
    </row>
    <row r="43">
      <c r="A43" s="6" t="inlineStr">
        <is>
          <t>Test request</t>
        </is>
      </c>
      <c r="B43" s="6" t="inlineStr">
        <is>
          <t>R-P</t>
        </is>
      </c>
      <c r="C43" s="6" t="inlineStr">
        <is>
          <t>RQ-01 / CL-03 / F-06 / Expedite=Yes</t>
        </is>
      </c>
      <c r="D43" s="6" t="inlineStr">
        <is>
          <t>Received Mon 2026-10-05 09:00 ET. Tri-County, protected records in file</t>
        </is>
      </c>
      <c r="E43" s="6" t="inlineStr"/>
    </row>
    <row r="44">
      <c r="A44" s="5" t="inlineStr">
        <is>
          <t>Test request</t>
        </is>
      </c>
      <c r="B44" s="5" t="inlineStr">
        <is>
          <t>R-Q</t>
        </is>
      </c>
      <c r="C44" s="5" t="inlineStr">
        <is>
          <t>RQ-01 / CL-04 / F-06 / Expedite=No</t>
        </is>
      </c>
      <c r="D44" s="5" t="inlineStr">
        <is>
          <t>Received Mon 2026-10-05 09:00 ET. Tri-County control</t>
        </is>
      </c>
      <c r="E44" s="5" t="inlineStr"/>
    </row>
    <row r="45">
      <c r="A45" s="6" t="inlineStr">
        <is>
          <t>Test request</t>
        </is>
      </c>
      <c r="B45" s="6" t="inlineStr">
        <is>
          <t>R-R</t>
        </is>
      </c>
      <c r="C45" s="6" t="inlineStr">
        <is>
          <t>RQ-04 / CL-04 / F-07 / Expedite=Try Yes</t>
        </is>
      </c>
      <c r="D45" s="6" t="inlineStr">
        <is>
          <t>Received Mon 2026-10-05 09:00 ET. Workers' Compensation Board (not charged)</t>
        </is>
      </c>
      <c r="E45" s="6" t="inlineStr"/>
    </row>
    <row r="46">
      <c r="A46" s="5" t="inlineStr">
        <is>
          <t>Test request</t>
        </is>
      </c>
      <c r="B46" s="5" t="inlineStr">
        <is>
          <t>R-S</t>
        </is>
      </c>
      <c r="C46" s="5" t="inlineStr">
        <is>
          <t>RQ-01 / CL-03 / F-05 / Expedite=Yes</t>
        </is>
      </c>
      <c r="D46" s="5" t="inlineStr">
        <is>
          <t>Received Mon 2026-10-05 09:00 ET. Tri-County court order</t>
        </is>
      </c>
      <c r="E46" s="5" t="inlineStr"/>
    </row>
    <row r="47">
      <c r="A47" s="6" t="inlineStr">
        <is>
          <t>Test request</t>
        </is>
      </c>
      <c r="B47" s="6" t="inlineStr">
        <is>
          <t>R-T</t>
        </is>
      </c>
      <c r="C47" s="6" t="inlineStr">
        <is>
          <t>RQ-03 / CL-01 / F-01 / Expedite=Yes</t>
        </is>
      </c>
      <c r="D47" s="6" t="inlineStr">
        <is>
          <t>Received Mon 2026-10-05 09:00 ET. Adverse carrier on a Harborline claim</t>
        </is>
      </c>
      <c r="E47" s="6" t="inlineStr"/>
    </row>
    <row r="48">
      <c r="A48" s="5" t="inlineStr">
        <is>
          <t>Test request</t>
        </is>
      </c>
      <c r="B48" s="5" t="inlineStr">
        <is>
          <t>R-U</t>
        </is>
      </c>
      <c r="C48" s="5" t="inlineStr">
        <is>
          <t>RQ-01 / CL-01 / F-02 / Expedite=Yes</t>
        </is>
      </c>
      <c r="D48" s="5" t="inlineStr">
        <is>
          <t>Received Mon 2026-10-05 09:00 ET. Authorization names mental health records</t>
        </is>
      </c>
      <c r="E48" s="5" t="inlineStr"/>
    </row>
  </sheetData>
  <autoFilter ref="A5:E4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5"/>
  <sheetViews>
    <sheetView showGridLines="0" workbookViewId="0">
      <pane ySplit="5" topLeftCell="A6" activePane="bottomLeft" state="frozen"/>
      <selection pane="bottomLeft" activeCell="A1" sqref="A1"/>
    </sheetView>
  </sheetViews>
  <sheetFormatPr baseColWidth="8" defaultRowHeight="15"/>
  <cols>
    <col width="11" customWidth="1" min="1" max="1"/>
    <col width="10" customWidth="1" min="2" max="2"/>
    <col width="40" customWidth="1" min="3" max="3"/>
    <col width="40" customWidth="1" min="4" max="4"/>
    <col width="30" customWidth="1" min="5" max="5"/>
    <col width="30" customWidth="1" min="6" max="6"/>
    <col width="10" customWidth="1" min="7" max="7"/>
    <col width="10" customWidth="1" min="8" max="8"/>
    <col width="10" customWidth="1" min="9" max="9"/>
    <col width="12" customWidth="1" min="10" max="10"/>
    <col width="13" customWidth="1" min="11" max="11"/>
  </cols>
  <sheetData>
    <row r="1">
      <c r="A1" s="1" t="inlineStr">
        <is>
          <t>EREQ-2147 UAT workbook: Expedited request option</t>
        </is>
      </c>
    </row>
    <row r="2">
      <c r="A2" s="2" t="inlineStr">
        <is>
          <t>Prepared 2026-09-28 from the EREQ-2147 ticket, Harborline MSA (2023) + Amendment 2 (2026), Tri-County Services Agreement (2024). Due dates from business_days.py.</t>
        </is>
      </c>
    </row>
    <row r="3">
      <c r="A3" s="3" t="inlineStr">
        <is>
          <t>PROVISIONAL: modules, severity rubric and holiday calendar are the SAMPLE reference files. Confirm with Heidy before sign-off (OQ-12).</t>
        </is>
      </c>
    </row>
    <row r="5">
      <c r="A5" s="4" t="inlineStr">
        <is>
          <t>Defect ID</t>
        </is>
      </c>
      <c r="B5" s="4" t="inlineStr">
        <is>
          <t>Case ID</t>
        </is>
      </c>
      <c r="C5" s="4" t="inlineStr">
        <is>
          <t>Summary</t>
        </is>
      </c>
      <c r="D5" s="4" t="inlineStr">
        <is>
          <t>Steps to reproduce</t>
        </is>
      </c>
      <c r="E5" s="4" t="inlineStr">
        <is>
          <t>Expected</t>
        </is>
      </c>
      <c r="F5" s="4" t="inlineStr">
        <is>
          <t>Actual</t>
        </is>
      </c>
      <c r="G5" s="4" t="inlineStr">
        <is>
          <t>Severity</t>
        </is>
      </c>
      <c r="H5" s="4" t="inlineStr">
        <is>
          <t>Status</t>
        </is>
      </c>
      <c r="I5" s="4" t="inlineStr">
        <is>
          <t>Found by</t>
        </is>
      </c>
      <c r="J5" s="4" t="inlineStr">
        <is>
          <t>Date found</t>
        </is>
      </c>
      <c r="K5" s="4" t="inlineStr">
        <is>
          <t>Assigned to</t>
        </is>
      </c>
    </row>
    <row r="6">
      <c r="A6" s="5" t="inlineStr">
        <is>
          <t>D-001</t>
        </is>
      </c>
      <c r="B6" s="5" t="inlineStr"/>
      <c r="C6" s="5" t="inlineStr"/>
      <c r="D6" s="5" t="inlineStr"/>
      <c r="E6" s="5" t="inlineStr"/>
      <c r="F6" s="5" t="inlineStr"/>
      <c r="G6" s="5" t="inlineStr"/>
      <c r="H6" s="5" t="inlineStr"/>
      <c r="I6" s="5" t="inlineStr"/>
      <c r="J6" s="12" t="inlineStr"/>
      <c r="K6" s="5" t="inlineStr"/>
    </row>
    <row r="7">
      <c r="A7" s="6" t="inlineStr">
        <is>
          <t>D-002</t>
        </is>
      </c>
      <c r="B7" s="6" t="inlineStr"/>
      <c r="C7" s="6" t="inlineStr"/>
      <c r="D7" s="6" t="inlineStr"/>
      <c r="E7" s="6" t="inlineStr"/>
      <c r="F7" s="6" t="inlineStr"/>
      <c r="G7" s="6" t="inlineStr"/>
      <c r="H7" s="6" t="inlineStr"/>
      <c r="I7" s="6" t="inlineStr"/>
      <c r="J7" s="13" t="inlineStr"/>
      <c r="K7" s="6" t="inlineStr"/>
    </row>
    <row r="8">
      <c r="A8" s="5" t="inlineStr">
        <is>
          <t>D-003</t>
        </is>
      </c>
      <c r="B8" s="5" t="inlineStr"/>
      <c r="C8" s="5" t="inlineStr"/>
      <c r="D8" s="5" t="inlineStr"/>
      <c r="E8" s="5" t="inlineStr"/>
      <c r="F8" s="5" t="inlineStr"/>
      <c r="G8" s="5" t="inlineStr"/>
      <c r="H8" s="5" t="inlineStr"/>
      <c r="I8" s="5" t="inlineStr"/>
      <c r="J8" s="12" t="inlineStr"/>
      <c r="K8" s="5" t="inlineStr"/>
    </row>
    <row r="9">
      <c r="A9" s="6" t="inlineStr">
        <is>
          <t>D-004</t>
        </is>
      </c>
      <c r="B9" s="6" t="inlineStr"/>
      <c r="C9" s="6" t="inlineStr"/>
      <c r="D9" s="6" t="inlineStr"/>
      <c r="E9" s="6" t="inlineStr"/>
      <c r="F9" s="6" t="inlineStr"/>
      <c r="G9" s="6" t="inlineStr"/>
      <c r="H9" s="6" t="inlineStr"/>
      <c r="I9" s="6" t="inlineStr"/>
      <c r="J9" s="13" t="inlineStr"/>
      <c r="K9" s="6" t="inlineStr"/>
    </row>
    <row r="10">
      <c r="A10" s="5" t="inlineStr">
        <is>
          <t>D-005</t>
        </is>
      </c>
      <c r="B10" s="5" t="inlineStr"/>
      <c r="C10" s="5" t="inlineStr"/>
      <c r="D10" s="5" t="inlineStr"/>
      <c r="E10" s="5" t="inlineStr"/>
      <c r="F10" s="5" t="inlineStr"/>
      <c r="G10" s="5" t="inlineStr"/>
      <c r="H10" s="5" t="inlineStr"/>
      <c r="I10" s="5" t="inlineStr"/>
      <c r="J10" s="12" t="inlineStr"/>
      <c r="K10" s="5" t="inlineStr"/>
    </row>
    <row r="11">
      <c r="A11" s="6" t="inlineStr">
        <is>
          <t>D-006</t>
        </is>
      </c>
      <c r="B11" s="6" t="inlineStr"/>
      <c r="C11" s="6" t="inlineStr"/>
      <c r="D11" s="6" t="inlineStr"/>
      <c r="E11" s="6" t="inlineStr"/>
      <c r="F11" s="6" t="inlineStr"/>
      <c r="G11" s="6" t="inlineStr"/>
      <c r="H11" s="6" t="inlineStr"/>
      <c r="I11" s="6" t="inlineStr"/>
      <c r="J11" s="13" t="inlineStr"/>
      <c r="K11" s="6" t="inlineStr"/>
    </row>
    <row r="12">
      <c r="A12" s="5" t="inlineStr">
        <is>
          <t>D-007</t>
        </is>
      </c>
      <c r="B12" s="5" t="inlineStr"/>
      <c r="C12" s="5" t="inlineStr"/>
      <c r="D12" s="5" t="inlineStr"/>
      <c r="E12" s="5" t="inlineStr"/>
      <c r="F12" s="5" t="inlineStr"/>
      <c r="G12" s="5" t="inlineStr"/>
      <c r="H12" s="5" t="inlineStr"/>
      <c r="I12" s="5" t="inlineStr"/>
      <c r="J12" s="12" t="inlineStr"/>
      <c r="K12" s="5" t="inlineStr"/>
    </row>
    <row r="13">
      <c r="A13" s="6" t="inlineStr">
        <is>
          <t>D-008</t>
        </is>
      </c>
      <c r="B13" s="6" t="inlineStr"/>
      <c r="C13" s="6" t="inlineStr"/>
      <c r="D13" s="6" t="inlineStr"/>
      <c r="E13" s="6" t="inlineStr"/>
      <c r="F13" s="6" t="inlineStr"/>
      <c r="G13" s="6" t="inlineStr"/>
      <c r="H13" s="6" t="inlineStr"/>
      <c r="I13" s="6" t="inlineStr"/>
      <c r="J13" s="13" t="inlineStr"/>
      <c r="K13" s="6" t="inlineStr"/>
    </row>
    <row r="14">
      <c r="A14" s="5" t="inlineStr">
        <is>
          <t>D-009</t>
        </is>
      </c>
      <c r="B14" s="5" t="inlineStr"/>
      <c r="C14" s="5" t="inlineStr"/>
      <c r="D14" s="5" t="inlineStr"/>
      <c r="E14" s="5" t="inlineStr"/>
      <c r="F14" s="5" t="inlineStr"/>
      <c r="G14" s="5" t="inlineStr"/>
      <c r="H14" s="5" t="inlineStr"/>
      <c r="I14" s="5" t="inlineStr"/>
      <c r="J14" s="12" t="inlineStr"/>
      <c r="K14" s="5" t="inlineStr"/>
    </row>
    <row r="15">
      <c r="A15" s="6" t="inlineStr">
        <is>
          <t>D-010</t>
        </is>
      </c>
      <c r="B15" s="6" t="inlineStr"/>
      <c r="C15" s="6" t="inlineStr"/>
      <c r="D15" s="6" t="inlineStr"/>
      <c r="E15" s="6" t="inlineStr"/>
      <c r="F15" s="6" t="inlineStr"/>
      <c r="G15" s="6" t="inlineStr"/>
      <c r="H15" s="6" t="inlineStr"/>
      <c r="I15" s="6" t="inlineStr"/>
      <c r="J15" s="13" t="inlineStr"/>
      <c r="K15" s="6" t="inlineStr"/>
    </row>
    <row r="16">
      <c r="A16" s="5" t="inlineStr">
        <is>
          <t>D-011</t>
        </is>
      </c>
      <c r="B16" s="5" t="inlineStr"/>
      <c r="C16" s="5" t="inlineStr"/>
      <c r="D16" s="5" t="inlineStr"/>
      <c r="E16" s="5" t="inlineStr"/>
      <c r="F16" s="5" t="inlineStr"/>
      <c r="G16" s="5" t="inlineStr"/>
      <c r="H16" s="5" t="inlineStr"/>
      <c r="I16" s="5" t="inlineStr"/>
      <c r="J16" s="12" t="inlineStr"/>
      <c r="K16" s="5" t="inlineStr"/>
    </row>
    <row r="17">
      <c r="A17" s="6" t="inlineStr">
        <is>
          <t>D-012</t>
        </is>
      </c>
      <c r="B17" s="6" t="inlineStr"/>
      <c r="C17" s="6" t="inlineStr"/>
      <c r="D17" s="6" t="inlineStr"/>
      <c r="E17" s="6" t="inlineStr"/>
      <c r="F17" s="6" t="inlineStr"/>
      <c r="G17" s="6" t="inlineStr"/>
      <c r="H17" s="6" t="inlineStr"/>
      <c r="I17" s="6" t="inlineStr"/>
      <c r="J17" s="13" t="inlineStr"/>
      <c r="K17" s="6" t="inlineStr"/>
    </row>
    <row r="18">
      <c r="A18" s="5" t="inlineStr">
        <is>
          <t>D-013</t>
        </is>
      </c>
      <c r="B18" s="5" t="inlineStr"/>
      <c r="C18" s="5" t="inlineStr"/>
      <c r="D18" s="5" t="inlineStr"/>
      <c r="E18" s="5" t="inlineStr"/>
      <c r="F18" s="5" t="inlineStr"/>
      <c r="G18" s="5" t="inlineStr"/>
      <c r="H18" s="5" t="inlineStr"/>
      <c r="I18" s="5" t="inlineStr"/>
      <c r="J18" s="12" t="inlineStr"/>
      <c r="K18" s="5" t="inlineStr"/>
    </row>
    <row r="19">
      <c r="A19" s="6" t="inlineStr">
        <is>
          <t>D-014</t>
        </is>
      </c>
      <c r="B19" s="6" t="inlineStr"/>
      <c r="C19" s="6" t="inlineStr"/>
      <c r="D19" s="6" t="inlineStr"/>
      <c r="E19" s="6" t="inlineStr"/>
      <c r="F19" s="6" t="inlineStr"/>
      <c r="G19" s="6" t="inlineStr"/>
      <c r="H19" s="6" t="inlineStr"/>
      <c r="I19" s="6" t="inlineStr"/>
      <c r="J19" s="13" t="inlineStr"/>
      <c r="K19" s="6" t="inlineStr"/>
    </row>
    <row r="20">
      <c r="A20" s="5" t="inlineStr">
        <is>
          <t>D-015</t>
        </is>
      </c>
      <c r="B20" s="5" t="inlineStr"/>
      <c r="C20" s="5" t="inlineStr"/>
      <c r="D20" s="5" t="inlineStr"/>
      <c r="E20" s="5" t="inlineStr"/>
      <c r="F20" s="5" t="inlineStr"/>
      <c r="G20" s="5" t="inlineStr"/>
      <c r="H20" s="5" t="inlineStr"/>
      <c r="I20" s="5" t="inlineStr"/>
      <c r="J20" s="12" t="inlineStr"/>
      <c r="K20" s="5" t="inlineStr"/>
    </row>
    <row r="21">
      <c r="A21" s="6" t="inlineStr">
        <is>
          <t>D-016</t>
        </is>
      </c>
      <c r="B21" s="6" t="inlineStr"/>
      <c r="C21" s="6" t="inlineStr"/>
      <c r="D21" s="6" t="inlineStr"/>
      <c r="E21" s="6" t="inlineStr"/>
      <c r="F21" s="6" t="inlineStr"/>
      <c r="G21" s="6" t="inlineStr"/>
      <c r="H21" s="6" t="inlineStr"/>
      <c r="I21" s="6" t="inlineStr"/>
      <c r="J21" s="13" t="inlineStr"/>
      <c r="K21" s="6" t="inlineStr"/>
    </row>
    <row r="22">
      <c r="A22" s="5" t="inlineStr">
        <is>
          <t>D-017</t>
        </is>
      </c>
      <c r="B22" s="5" t="inlineStr"/>
      <c r="C22" s="5" t="inlineStr"/>
      <c r="D22" s="5" t="inlineStr"/>
      <c r="E22" s="5" t="inlineStr"/>
      <c r="F22" s="5" t="inlineStr"/>
      <c r="G22" s="5" t="inlineStr"/>
      <c r="H22" s="5" t="inlineStr"/>
      <c r="I22" s="5" t="inlineStr"/>
      <c r="J22" s="12" t="inlineStr"/>
      <c r="K22" s="5" t="inlineStr"/>
    </row>
    <row r="23">
      <c r="A23" s="6" t="inlineStr">
        <is>
          <t>D-018</t>
        </is>
      </c>
      <c r="B23" s="6" t="inlineStr"/>
      <c r="C23" s="6" t="inlineStr"/>
      <c r="D23" s="6" t="inlineStr"/>
      <c r="E23" s="6" t="inlineStr"/>
      <c r="F23" s="6" t="inlineStr"/>
      <c r="G23" s="6" t="inlineStr"/>
      <c r="H23" s="6" t="inlineStr"/>
      <c r="I23" s="6" t="inlineStr"/>
      <c r="J23" s="13" t="inlineStr"/>
      <c r="K23" s="6" t="inlineStr"/>
    </row>
    <row r="24">
      <c r="A24" s="5" t="inlineStr">
        <is>
          <t>D-019</t>
        </is>
      </c>
      <c r="B24" s="5" t="inlineStr"/>
      <c r="C24" s="5" t="inlineStr"/>
      <c r="D24" s="5" t="inlineStr"/>
      <c r="E24" s="5" t="inlineStr"/>
      <c r="F24" s="5" t="inlineStr"/>
      <c r="G24" s="5" t="inlineStr"/>
      <c r="H24" s="5" t="inlineStr"/>
      <c r="I24" s="5" t="inlineStr"/>
      <c r="J24" s="12" t="inlineStr"/>
      <c r="K24" s="5" t="inlineStr"/>
    </row>
    <row r="25">
      <c r="A25" s="6" t="inlineStr">
        <is>
          <t>D-020</t>
        </is>
      </c>
      <c r="B25" s="6" t="inlineStr"/>
      <c r="C25" s="6" t="inlineStr"/>
      <c r="D25" s="6" t="inlineStr"/>
      <c r="E25" s="6" t="inlineStr"/>
      <c r="F25" s="6" t="inlineStr"/>
      <c r="G25" s="6" t="inlineStr"/>
      <c r="H25" s="6" t="inlineStr"/>
      <c r="I25" s="6" t="inlineStr"/>
      <c r="J25" s="13" t="inlineStr"/>
      <c r="K25" s="6" t="inlineStr"/>
    </row>
    <row r="26">
      <c r="A26" s="5" t="inlineStr">
        <is>
          <t>D-021</t>
        </is>
      </c>
      <c r="B26" s="5" t="inlineStr"/>
      <c r="C26" s="5" t="inlineStr"/>
      <c r="D26" s="5" t="inlineStr"/>
      <c r="E26" s="5" t="inlineStr"/>
      <c r="F26" s="5" t="inlineStr"/>
      <c r="G26" s="5" t="inlineStr"/>
      <c r="H26" s="5" t="inlineStr"/>
      <c r="I26" s="5" t="inlineStr"/>
      <c r="J26" s="12" t="inlineStr"/>
      <c r="K26" s="5" t="inlineStr"/>
    </row>
    <row r="27">
      <c r="A27" s="6" t="inlineStr">
        <is>
          <t>D-022</t>
        </is>
      </c>
      <c r="B27" s="6" t="inlineStr"/>
      <c r="C27" s="6" t="inlineStr"/>
      <c r="D27" s="6" t="inlineStr"/>
      <c r="E27" s="6" t="inlineStr"/>
      <c r="F27" s="6" t="inlineStr"/>
      <c r="G27" s="6" t="inlineStr"/>
      <c r="H27" s="6" t="inlineStr"/>
      <c r="I27" s="6" t="inlineStr"/>
      <c r="J27" s="13" t="inlineStr"/>
      <c r="K27" s="6" t="inlineStr"/>
    </row>
    <row r="28">
      <c r="A28" s="5" t="inlineStr">
        <is>
          <t>D-023</t>
        </is>
      </c>
      <c r="B28" s="5" t="inlineStr"/>
      <c r="C28" s="5" t="inlineStr"/>
      <c r="D28" s="5" t="inlineStr"/>
      <c r="E28" s="5" t="inlineStr"/>
      <c r="F28" s="5" t="inlineStr"/>
      <c r="G28" s="5" t="inlineStr"/>
      <c r="H28" s="5" t="inlineStr"/>
      <c r="I28" s="5" t="inlineStr"/>
      <c r="J28" s="12" t="inlineStr"/>
      <c r="K28" s="5" t="inlineStr"/>
    </row>
    <row r="29">
      <c r="A29" s="6" t="inlineStr">
        <is>
          <t>D-024</t>
        </is>
      </c>
      <c r="B29" s="6" t="inlineStr"/>
      <c r="C29" s="6" t="inlineStr"/>
      <c r="D29" s="6" t="inlineStr"/>
      <c r="E29" s="6" t="inlineStr"/>
      <c r="F29" s="6" t="inlineStr"/>
      <c r="G29" s="6" t="inlineStr"/>
      <c r="H29" s="6" t="inlineStr"/>
      <c r="I29" s="6" t="inlineStr"/>
      <c r="J29" s="13" t="inlineStr"/>
      <c r="K29" s="6" t="inlineStr"/>
    </row>
    <row r="30">
      <c r="A30" s="5" t="inlineStr">
        <is>
          <t>D-025</t>
        </is>
      </c>
      <c r="B30" s="5" t="inlineStr"/>
      <c r="C30" s="5" t="inlineStr"/>
      <c r="D30" s="5" t="inlineStr"/>
      <c r="E30" s="5" t="inlineStr"/>
      <c r="F30" s="5" t="inlineStr"/>
      <c r="G30" s="5" t="inlineStr"/>
      <c r="H30" s="5" t="inlineStr"/>
      <c r="I30" s="5" t="inlineStr"/>
      <c r="J30" s="12" t="inlineStr"/>
      <c r="K30" s="5" t="inlineStr"/>
    </row>
    <row r="31">
      <c r="A31" s="6" t="inlineStr">
        <is>
          <t>D-026</t>
        </is>
      </c>
      <c r="B31" s="6" t="inlineStr"/>
      <c r="C31" s="6" t="inlineStr"/>
      <c r="D31" s="6" t="inlineStr"/>
      <c r="E31" s="6" t="inlineStr"/>
      <c r="F31" s="6" t="inlineStr"/>
      <c r="G31" s="6" t="inlineStr"/>
      <c r="H31" s="6" t="inlineStr"/>
      <c r="I31" s="6" t="inlineStr"/>
      <c r="J31" s="13" t="inlineStr"/>
      <c r="K31" s="6" t="inlineStr"/>
    </row>
    <row r="32">
      <c r="A32" s="5" t="inlineStr">
        <is>
          <t>D-027</t>
        </is>
      </c>
      <c r="B32" s="5" t="inlineStr"/>
      <c r="C32" s="5" t="inlineStr"/>
      <c r="D32" s="5" t="inlineStr"/>
      <c r="E32" s="5" t="inlineStr"/>
      <c r="F32" s="5" t="inlineStr"/>
      <c r="G32" s="5" t="inlineStr"/>
      <c r="H32" s="5" t="inlineStr"/>
      <c r="I32" s="5" t="inlineStr"/>
      <c r="J32" s="12" t="inlineStr"/>
      <c r="K32" s="5" t="inlineStr"/>
    </row>
    <row r="33">
      <c r="A33" s="6" t="inlineStr">
        <is>
          <t>D-028</t>
        </is>
      </c>
      <c r="B33" s="6" t="inlineStr"/>
      <c r="C33" s="6" t="inlineStr"/>
      <c r="D33" s="6" t="inlineStr"/>
      <c r="E33" s="6" t="inlineStr"/>
      <c r="F33" s="6" t="inlineStr"/>
      <c r="G33" s="6" t="inlineStr"/>
      <c r="H33" s="6" t="inlineStr"/>
      <c r="I33" s="6" t="inlineStr"/>
      <c r="J33" s="13" t="inlineStr"/>
      <c r="K33" s="6" t="inlineStr"/>
    </row>
    <row r="34">
      <c r="A34" s="5" t="inlineStr">
        <is>
          <t>D-029</t>
        </is>
      </c>
      <c r="B34" s="5" t="inlineStr"/>
      <c r="C34" s="5" t="inlineStr"/>
      <c r="D34" s="5" t="inlineStr"/>
      <c r="E34" s="5" t="inlineStr"/>
      <c r="F34" s="5" t="inlineStr"/>
      <c r="G34" s="5" t="inlineStr"/>
      <c r="H34" s="5" t="inlineStr"/>
      <c r="I34" s="5" t="inlineStr"/>
      <c r="J34" s="12" t="inlineStr"/>
      <c r="K34" s="5" t="inlineStr"/>
    </row>
    <row r="35">
      <c r="A35" s="6" t="inlineStr">
        <is>
          <t>D-030</t>
        </is>
      </c>
      <c r="B35" s="6" t="inlineStr"/>
      <c r="C35" s="6" t="inlineStr"/>
      <c r="D35" s="6" t="inlineStr"/>
      <c r="E35" s="6" t="inlineStr"/>
      <c r="F35" s="6" t="inlineStr"/>
      <c r="G35" s="6" t="inlineStr"/>
      <c r="H35" s="6" t="inlineStr"/>
      <c r="I35" s="6" t="inlineStr"/>
      <c r="J35" s="13" t="inlineStr"/>
      <c r="K35" s="6" t="inlineStr"/>
    </row>
  </sheetData>
  <autoFilter ref="A5:K35"/>
  <dataValidations count="2">
    <dataValidation sqref="G6:G205" showDropDown="0" showInputMessage="0" showErrorMessage="0" allowBlank="1" type="list">
      <formula1>"S1,S2,S3,S4,Needs repro"</formula1>
    </dataValidation>
    <dataValidation sqref="H6:H205" showDropDown="0" showInputMessage="0" showErrorMessage="0" allowBlank="1" type="list">
      <formula1>"Open,In progress,Fixed - retest,Closed,Won't fix"</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2"/>
  <sheetViews>
    <sheetView showGridLines="0" workbookViewId="0">
      <pane ySplit="5" topLeftCell="A6" activePane="bottomLeft" state="frozen"/>
      <selection pane="bottomLeft" activeCell="A1" sqref="A1"/>
    </sheetView>
  </sheetViews>
  <sheetFormatPr baseColWidth="8" defaultRowHeight="15"/>
  <cols>
    <col width="15" customWidth="1" min="1" max="1"/>
    <col width="60" customWidth="1" min="2" max="2"/>
    <col width="60" customWidth="1" min="3" max="3"/>
    <col width="55" customWidth="1" min="4" max="4"/>
    <col width="52" customWidth="1" min="5" max="5"/>
  </cols>
  <sheetData>
    <row r="1">
      <c r="A1" s="1" t="inlineStr">
        <is>
          <t>EREQ-2147 UAT workbook: Expedited request option</t>
        </is>
      </c>
    </row>
    <row r="2">
      <c r="A2" s="2" t="inlineStr">
        <is>
          <t>Prepared 2026-09-28 from the EREQ-2147 ticket, Harborline MSA (2023) + Amendment 2 (2026), Tri-County Services Agreement (2024). Due dates from business_days.py.</t>
        </is>
      </c>
    </row>
    <row r="3">
      <c r="A3" s="3" t="inlineStr">
        <is>
          <t>PROVISIONAL: modules, severity rubric and holiday calendar are the SAMPLE reference files. Confirm with Heidy before sign-off (OQ-12).</t>
        </is>
      </c>
    </row>
    <row r="5">
      <c r="A5" s="4" t="inlineStr">
        <is>
          <t>Level</t>
        </is>
      </c>
      <c r="B5" s="4" t="inlineStr">
        <is>
          <t>Definition</t>
        </is>
      </c>
      <c r="C5" s="4" t="inlineStr">
        <is>
          <t>ClaimFox examples</t>
        </is>
      </c>
      <c r="D5" s="4" t="inlineStr">
        <is>
          <t>Release decision</t>
        </is>
      </c>
      <c r="E5" s="4" t="inlineStr">
        <is>
          <t>Fix target</t>
        </is>
      </c>
    </row>
    <row r="6">
      <c r="A6" s="5" t="inlineStr">
        <is>
          <t>S1 Critical</t>
        </is>
      </c>
      <c r="B6" s="5" t="inlineStr">
        <is>
          <t>Wrong records could be released, personal data exposed, or money or due dates calculated wrong across many requests. No workaround.</t>
        </is>
      </c>
      <c r="C6" s="5" t="inlineStr">
        <is>
          <t>A redaction is skipped; a request is attached to the wrong claim; the due-date calculation is wrong for a request type or client; invoices bill the wrong amount</t>
        </is>
      </c>
      <c r="D6" s="5" t="inlineStr">
        <is>
          <t>Blocks release</t>
        </is>
      </c>
      <c r="E6" s="5" t="inlineStr">
        <is>
          <t>Before release</t>
        </is>
      </c>
    </row>
    <row r="7">
      <c r="A7" s="6" t="inlineStr">
        <is>
          <t>S2 Major</t>
        </is>
      </c>
      <c r="B7" s="6" t="inlineStr">
        <is>
          <t>A core step fails or gives wrong results for some requests, or a single request shows a wrong date or amount. A workaround exists but is manual or risky.</t>
        </is>
      </c>
      <c r="C7" s="6" t="inlineStr">
        <is>
          <t>The expedite fee is missing on some invoices; the queue doesn't sort expedited requests first; one confirmation email shows the wrong date</t>
        </is>
      </c>
      <c r="D7" s="6" t="inlineStr">
        <is>
          <t>Blocks release unless the owner signs off on a workaround</t>
        </is>
      </c>
      <c r="E7" s="6" t="inlineStr">
        <is>
          <t>Before release, or a hotfix within 5 business days</t>
        </is>
      </c>
    </row>
    <row r="8">
      <c r="A8" s="5" t="inlineStr">
        <is>
          <t>S3 Minor</t>
        </is>
      </c>
      <c r="B8" s="5" t="inlineStr">
        <is>
          <t>Works, but confusing, inconsistent or slow. No data or money impact.</t>
        </is>
      </c>
      <c r="C8" s="5" t="inlineStr">
        <is>
          <t>Badge color is hard to read; a report column is mislabeled; a missing tooltip</t>
        </is>
      </c>
      <c r="D8" s="5" t="inlineStr">
        <is>
          <t>Doesn't block</t>
        </is>
      </c>
      <c r="E8" s="5" t="inlineStr">
        <is>
          <t>Next release</t>
        </is>
      </c>
    </row>
    <row r="9">
      <c r="A9" s="6" t="inlineStr">
        <is>
          <t>S4 Cosmetic</t>
        </is>
      </c>
      <c r="B9" s="6" t="inlineStr">
        <is>
          <t>Typos, spacing, visual polish.</t>
        </is>
      </c>
      <c r="C9" s="6" t="inlineStr">
        <is>
          <t>Misspelled label; misaligned button</t>
        </is>
      </c>
      <c r="D9" s="6" t="inlineStr">
        <is>
          <t>Doesn't block</t>
        </is>
      </c>
      <c r="E9" s="6" t="inlineStr">
        <is>
          <t>Backlog</t>
        </is>
      </c>
    </row>
    <row r="10">
      <c r="A10" s="5" t="inlineStr">
        <is>
          <t>Triage rule 1</t>
        </is>
      </c>
      <c r="B10" s="5" t="inlineStr">
        <is>
          <t>Anything touching redaction, page selection, claim matching, or who receives records starts at S1 until proven otherwise.</t>
        </is>
      </c>
      <c r="C10" s="5" t="inlineStr"/>
      <c r="D10" s="5" t="inlineStr"/>
      <c r="E10" s="5" t="inlineStr"/>
    </row>
    <row r="11">
      <c r="A11" s="6" t="inlineStr">
        <is>
          <t>Triage rule 2</t>
        </is>
      </c>
      <c r="B11" s="6" t="inlineStr">
        <is>
          <t>Money or due dates: S1 if the calculation itself is wrong (wrong everywhere), S2 if one request or one screen shows the wrong value.</t>
        </is>
      </c>
      <c r="C11" s="6" t="inlineStr"/>
      <c r="D11" s="6" t="inlineStr"/>
      <c r="E11" s="6" t="inlineStr"/>
    </row>
    <row r="12">
      <c r="A12" s="5" t="inlineStr">
        <is>
          <t>Triage rule 3</t>
        </is>
      </c>
      <c r="B12" s="5" t="inlineStr">
        <is>
          <t>If a defect can't be reproduced twice, log it as Needs repro, not a severity.</t>
        </is>
      </c>
      <c r="C12" s="5" t="inlineStr"/>
      <c r="D12" s="5" t="inlineStr"/>
      <c r="E12" s="5" t="inlineStr"/>
    </row>
  </sheetData>
  <autoFilter ref="A5:E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2026-09-28T21:08:01Z</dcterms:created>
  <dcterms:modified xmlns:dcterms="http://purl.org/dc/terms/" xmlns:xsi="http://www.w3.org/2001/XMLSchema-instance" xsi:type="dcterms:W3CDTF">2026-09-28T21:08:01Z</dcterms:modified>
</cp:coreProperties>
</file>